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mdiadvantage0-my.sharepoint.com/personal/cmetzgar_mdiadvantage_com/Documents/Desktop/Claude/Jefferson City/"/>
    </mc:Choice>
  </mc:AlternateContent>
  <xr:revisionPtr revIDLastSave="14" documentId="11_0CB173AEF6EA0CB07B64133761F45A924C494460" xr6:coauthVersionLast="47" xr6:coauthVersionMax="47" xr10:uidLastSave="{31243C87-ECAB-4313-B123-A6CD667CC021}"/>
  <bookViews>
    <workbookView xWindow="-120" yWindow="-120" windowWidth="29040" windowHeight="15720" firstSheet="6" activeTab="17" xr2:uid="{00000000-000D-0000-FFFF-FFFF00000000}"/>
  </bookViews>
  <sheets>
    <sheet name="Open Questions" sheetId="1" r:id="rId1"/>
    <sheet name="MetaData" sheetId="2" state="hidden" r:id="rId2"/>
    <sheet name="ToC" sheetId="3" r:id="rId3"/>
    <sheet name="TC_Template" sheetId="4" r:id="rId4"/>
    <sheet name="TC0001" sheetId="5" r:id="rId5"/>
    <sheet name="TC0002" sheetId="6" r:id="rId6"/>
    <sheet name="TC0003" sheetId="7" r:id="rId7"/>
    <sheet name="TC0004" sheetId="8" r:id="rId8"/>
    <sheet name="TC0005" sheetId="9" r:id="rId9"/>
    <sheet name="TC0006" sheetId="10" r:id="rId10"/>
    <sheet name="TC0007" sheetId="11" r:id="rId11"/>
    <sheet name="TC0008" sheetId="12" r:id="rId12"/>
    <sheet name="TC0009" sheetId="13" r:id="rId13"/>
    <sheet name="TC0010" sheetId="14" r:id="rId14"/>
    <sheet name="TC0011" sheetId="15" r:id="rId15"/>
    <sheet name="TC0012" sheetId="16" r:id="rId16"/>
    <sheet name="TC0013" sheetId="17" r:id="rId17"/>
    <sheet name="TC0014" sheetId="18" r:id="rId18"/>
  </sheets>
  <definedNames>
    <definedName name="_xleta.COUNTIF" hidden="1" xlm="1">#NAME?</definedName>
    <definedName name="_xleta.DATE" hidden="1" xlm="1">#NAME?</definedName>
    <definedName name="_xleta.ROW" hidden="1" xlm="1">#NAME?</definedName>
    <definedName name="StatusList">Table4[StatusTable]</definedName>
    <definedName name="TestStepStatus">Table3[TestStepStatus]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a="1"/>
  <c r="A3" i="18" s="1"/>
  <c r="A2" i="18" a="1"/>
  <c r="A2" i="18" s="1"/>
  <c r="A1" i="18" a="1"/>
  <c r="A1" i="18" s="1"/>
  <c r="A3" i="17" a="1"/>
  <c r="A3" i="17" s="1"/>
  <c r="A2" i="17" a="1"/>
  <c r="A2" i="17" s="1"/>
  <c r="A1" i="17" a="1"/>
  <c r="A1" i="17" s="1"/>
  <c r="A3" i="15" a="1"/>
  <c r="A3" i="15" s="1"/>
  <c r="A2" i="15" a="1"/>
  <c r="A2" i="15" s="1"/>
  <c r="A1" i="15" a="1"/>
  <c r="A1" i="15" s="1"/>
  <c r="A3" i="14" a="1"/>
  <c r="A3" i="14" s="1"/>
  <c r="A2" i="14" a="1"/>
  <c r="A2" i="14" s="1"/>
  <c r="A1" i="14" a="1"/>
  <c r="A1" i="14" s="1"/>
  <c r="A3" i="13" a="1"/>
  <c r="A3" i="13" s="1"/>
  <c r="A2" i="13" a="1"/>
  <c r="A2" i="13" s="1"/>
  <c r="A1" i="13" a="1"/>
  <c r="A1" i="13" s="1"/>
  <c r="A3" i="12" a="1"/>
  <c r="A3" i="12" s="1"/>
  <c r="A2" i="12" a="1"/>
  <c r="A2" i="12" s="1"/>
  <c r="A1" i="12" a="1"/>
  <c r="A1" i="12" s="1"/>
  <c r="A3" i="11" a="1"/>
  <c r="A3" i="11" s="1"/>
  <c r="A2" i="11" a="1"/>
  <c r="A2" i="11" s="1"/>
  <c r="A1" i="11" a="1"/>
  <c r="A1" i="11" s="1"/>
  <c r="A3" i="10" a="1"/>
  <c r="A3" i="10" s="1"/>
  <c r="A2" i="10" a="1"/>
  <c r="A2" i="10" s="1"/>
  <c r="A1" i="10" a="1"/>
  <c r="A1" i="10" s="1"/>
  <c r="A3" i="9" a="1"/>
  <c r="A3" i="9" s="1"/>
  <c r="A2" i="9" a="1"/>
  <c r="A2" i="9" s="1"/>
  <c r="A1" i="9" a="1"/>
  <c r="A1" i="9" s="1"/>
  <c r="A3" i="8" a="1"/>
  <c r="A3" i="8" s="1"/>
  <c r="A2" i="8" a="1"/>
  <c r="A2" i="8" s="1"/>
  <c r="A1" i="8" a="1"/>
  <c r="A1" i="8" s="1"/>
  <c r="A3" i="7" a="1"/>
  <c r="A3" i="7" s="1"/>
  <c r="A2" i="7" a="1"/>
  <c r="A2" i="7" s="1"/>
  <c r="A1" i="7" a="1"/>
  <c r="A1" i="7" s="1"/>
  <c r="A3" i="6" a="1"/>
  <c r="A3" i="6" s="1"/>
  <c r="A2" i="6" a="1"/>
  <c r="A2" i="6" s="1"/>
  <c r="A1" i="6" a="1"/>
  <c r="A1" i="6" s="1"/>
  <c r="A3" i="5" a="1"/>
  <c r="A3" i="5" s="1"/>
  <c r="A2" i="5" a="1"/>
  <c r="A2" i="5" s="1"/>
  <c r="A1" i="5" a="1"/>
  <c r="A1" i="5" s="1"/>
  <c r="A3" i="4" a="1"/>
  <c r="A3" i="4" s="1"/>
  <c r="A2" i="4" a="1"/>
  <c r="A2" i="4" s="1"/>
  <c r="A1" i="4" a="1"/>
  <c r="A1" i="4" s="1"/>
  <c r="F2" i="3"/>
  <c r="B2" i="3"/>
  <c r="A3" i="16" a="1"/>
  <c r="A3" i="16" s="1"/>
  <c r="A2" i="16" a="1"/>
  <c r="A2" i="16" s="1"/>
  <c r="A1" i="16" a="1"/>
  <c r="A1" i="16" s="1"/>
  <c r="B18" i="3"/>
  <c r="B16" i="3"/>
  <c r="B19" i="3"/>
  <c r="B15" i="3"/>
  <c r="B13" i="3"/>
  <c r="B17" i="3"/>
  <c r="B14" i="3"/>
  <c r="B12" i="3"/>
  <c r="B10" i="3"/>
  <c r="B11" i="3"/>
  <c r="B9" i="3"/>
  <c r="B8" i="3"/>
  <c r="B7" i="3"/>
  <c r="B20" i="3"/>
  <c r="D2" i="3" l="1"/>
</calcChain>
</file>

<file path=xl/sharedStrings.xml><?xml version="1.0" encoding="utf-8"?>
<sst xmlns="http://schemas.openxmlformats.org/spreadsheetml/2006/main" count="550" uniqueCount="282">
  <si>
    <t>Number of Executions:</t>
  </si>
  <si>
    <t xml:space="preserve">Test Case Set Up </t>
  </si>
  <si>
    <t>A whole-good serial in WIPWorkOrders_Assembly that is missing a row for one of its normal line stations (a data-integrity gap), where every OTHER row that does exist for that serial already shows Status 3 (Complete). Set this up directly in SQL for the test, or use a real serial already showing this gap.</t>
  </si>
  <si>
    <t>This is a data-integrity scenario, not a normal build - coordinate with development if you need help identifying or creating a qualifying serial. Logged in with the Engineering, Supervisor, or Scheduler role.</t>
  </si>
  <si>
    <t>StepID</t>
  </si>
  <si>
    <t>Sub Step ID</t>
  </si>
  <si>
    <t>Status</t>
  </si>
  <si>
    <t>Description</t>
  </si>
  <si>
    <t>Test Case Action</t>
  </si>
  <si>
    <t>User Experience</t>
  </si>
  <si>
    <t>PLC Interactions</t>
  </si>
  <si>
    <t>SCADA/MES Interactions</t>
  </si>
  <si>
    <t>DB Interactions</t>
  </si>
  <si>
    <t>Not Tested</t>
  </si>
  <si>
    <t>Confirm the setup before testing</t>
  </si>
  <si>
    <t>Before doing anything in the SCC, run the query below against the test serial.</t>
  </si>
  <si>
    <t>Run this query to see all rows for the test serial:
SELECT StationName, Status, LineStatus, AreaStatus, CompletedTimestamp
FROM WIPWorkOrders_Assembly
WHERE SerialNumber = '[test serial]'
ORDER BY StationName;
Confirm one expected line station has no row at all, and every row that does exist shows Status = 3.</t>
  </si>
  <si>
    <t>Manually complete the last remaining outstanding station</t>
  </si>
  <si>
    <t>On Work Order Reconciliation, search the serial, select its last outstanding (not yet Complete) station, enter a reason, and click Mark Complete at Station.</t>
  </si>
  <si>
    <t>A success message confirms the station was marked complete.</t>
  </si>
  <si>
    <t>The completed row itself updates correctly with both timestamps</t>
  </si>
  <si>
    <t>Immediately after Step 2's Mark Complete, without any further UI action, run the query below.</t>
  </si>
  <si>
    <t>Run this query:
SELECT Status, WIPTimestamp, CompletedTimestamp FROM WIPWorkOrders_Assembly
WHERE SerialNumber = '[test serial]' AND StationName = '[station you completed]';
Status should be 3, and both WIPTimestamp and CompletedTimestamp should be set.</t>
  </si>
  <si>
    <t>LineStatus and AreaStatus close to 3 when the last station on the line is completed</t>
  </si>
  <si>
    <t>Re-run the query from Step 1 for the same serial after the Mark Complete in Step 2.</t>
  </si>
  <si>
    <t>Mark Complete runs the plant's line/area completion cascade - the same SetLineStatus_Complete / SetAreaStatus_Complete queries workComplete uses.</t>
  </si>
  <si>
    <t>Run this query:
SELECT StationName, Status, LineStatus, AreaStatus
FROM WIPWorkOrders_Assembly
WHERE SerialNumber = '[test serial]'
ORDER BY StationName;
Every existing row for the serial should now show LineStatus = 3 and AreaStatus = 3. A missing station row does NOT block this - the cascade only counts rows that exist. If any station on the line were still incomplete, LineStatus/AreaStatus would stay at 2.</t>
  </si>
  <si>
    <t>Get Next Work Order still refires for the completed station despite the missing sibling row</t>
  </si>
  <si>
    <t>Watch the Gateway Output Console immediately after Step 2.</t>
  </si>
  <si>
    <t>The gateway should log a getNextWorkOrder call for the completed station, the same as any other manual complete - the missing sibling row does not change this behavior.</t>
  </si>
  <si>
    <t>Inquirer</t>
  </si>
  <si>
    <t>Audience</t>
  </si>
  <si>
    <t>Target Audience</t>
  </si>
  <si>
    <t>Question</t>
  </si>
  <si>
    <t>Anwser</t>
  </si>
  <si>
    <t>Waiting for Response</t>
  </si>
  <si>
    <t>Developer A</t>
  </si>
  <si>
    <t>Internal</t>
  </si>
  <si>
    <t>Development Lead</t>
  </si>
  <si>
    <t>How do I use this document?</t>
  </si>
  <si>
    <t>StatusTable</t>
  </si>
  <si>
    <t>TestStepStatus</t>
  </si>
  <si>
    <t>Complete</t>
  </si>
  <si>
    <t>Success</t>
  </si>
  <si>
    <t>In-Progress</t>
  </si>
  <si>
    <t>Not Started</t>
  </si>
  <si>
    <t>Failed: UX</t>
  </si>
  <si>
    <t>Failed: MES/SCADA</t>
  </si>
  <si>
    <t>Failed: DB</t>
  </si>
  <si>
    <t>Station Control Center Test Suite</t>
  </si>
  <si>
    <t>Total Test Cases</t>
  </si>
  <si>
    <t>Pass Rate</t>
  </si>
  <si>
    <t>Last Updated</t>
  </si>
  <si>
    <t>Test Case ID</t>
  </si>
  <si>
    <t>Developer</t>
  </si>
  <si>
    <t>Test Case Title</t>
  </si>
  <si>
    <t>Test Case Category</t>
  </si>
  <si>
    <t>Execution Date</t>
  </si>
  <si>
    <t>TC0001</t>
  </si>
  <si>
    <t>Cameron Metzgar</t>
  </si>
  <si>
    <t>Station Rectification - Manual ComponentID Change at a Station</t>
  </si>
  <si>
    <t>Station Control</t>
  </si>
  <si>
    <t>TC0002</t>
  </si>
  <si>
    <t>Station Rectification - Refresh Next Work Order</t>
  </si>
  <si>
    <t>TC0003</t>
  </si>
  <si>
    <t>AMR Rectification - Tab Access and Fleet List</t>
  </si>
  <si>
    <t>TC0004</t>
  </si>
  <si>
    <t>AMR Rectification - ComponentID and ComponentID 2 Change With Auto Payload Refresh</t>
  </si>
  <si>
    <t>TC0005</t>
  </si>
  <si>
    <t>Manual Assembly Scheduling - Serial Validation Rejects Duplicates and Unknown Machines</t>
  </si>
  <si>
    <t>TC0006</t>
  </si>
  <si>
    <t>Manual Assembly Scheduling - Single and Batch Serial Scheduling</t>
  </si>
  <si>
    <t>TC0007</t>
  </si>
  <si>
    <t>Work Order Reconciliation - Mark NWG Complete at Any Fabrication Station</t>
  </si>
  <si>
    <t>TC0008</t>
  </si>
  <si>
    <t>Work Order Reconciliation - Mark WG Complete at Any Assembly Station</t>
  </si>
  <si>
    <t>TC0009</t>
  </si>
  <si>
    <t>Work Order Reconciliation - Schedule NWG to the Correct Pre-Paint Station</t>
  </si>
  <si>
    <t>TC0010</t>
  </si>
  <si>
    <t>Work Order Reconciliation - Schedule NWG for Pre-Assembly Clears Pre-Paint</t>
  </si>
  <si>
    <t>TC0011</t>
  </si>
  <si>
    <t>Work Order Reconciliation - Same Station Cannot Be Scheduled Twice</t>
  </si>
  <si>
    <t>TC0012</t>
  </si>
  <si>
    <t>Edge Case - WG Completed at the Last Station With a Missing Assembly Row</t>
  </si>
  <si>
    <t>Edge Cases &amp; Process</t>
  </si>
  <si>
    <t>TC0013</t>
  </si>
  <si>
    <t>Edge Case - Clearing a ComponentID or AMR Assignment Behavior</t>
  </si>
  <si>
    <t>TC0014</t>
  </si>
  <si>
    <t>Edge Case - Backend Refresh Failure Does Not Block or Falsely Log the Triggering Action</t>
  </si>
  <si>
    <t>This section is used to describe the steps to set up the test case</t>
  </si>
  <si>
    <t>DB, Batch, PLC, states that need to be done before executing the test case</t>
  </si>
  <si>
    <t>A station with a ComponentID currently set that is NOT actively building (no Status 2 WIP row in assembly) and does not have an AMR currently bound. Have a second ComponentID/serial on hand that exists in MachineConfig to use as the new value.</t>
  </si>
  <si>
    <t>Logged in with the Engineering, Supervisor, or Scheduler role.</t>
  </si>
  <si>
    <t>Station Rectification tab loads the full station roster with live ComponentID values</t>
  </si>
  <si>
    <t>Open Station Control Center and click the Station Rectification tab.</t>
  </si>
  <si>
    <t>Every station from the roster appears with its current ComponentID (and ComponentID 2, if applicable) already populated. No loading spinner stays on screen.</t>
  </si>
  <si>
    <t>No errors appear in the Output Console. The table loads from a single read, not a repeating poll.</t>
  </si>
  <si>
    <t>Selecting a station opens it for editing</t>
  </si>
  <si>
    <t>Click the row for the target station.</t>
  </si>
  <si>
    <t>The details panel shows the station's current ComponentID and an input field for a new value.</t>
  </si>
  <si>
    <t>Boundary checks pass before a change is allowed to commit</t>
  </si>
  <si>
    <t>Type the new ComponentID (must exist in MachineConfig) and a reason (e.g. "Reconciling scan miss"). Review the boundary check list shown before committing.</t>
  </si>
  <si>
    <t>All boundary checks show passed: not actively building, new ComponentID exists in MachineConfig, and the value actually changes.</t>
  </si>
  <si>
    <t>Commit writes the new ComponentID to the live tag</t>
  </si>
  <si>
    <t>Click Commit.</t>
  </si>
  <si>
    <t>A success message confirms the update. The station's row in the table now shows the new ComponentID.</t>
  </si>
  <si>
    <t>No errors appear in the Output Console.</t>
  </si>
  <si>
    <t>Every committed ComponentID change writes an audit row</t>
  </si>
  <si>
    <t>Return to the successful change from Step 4 and run the query below.</t>
  </si>
  <si>
    <t>Run this query in SSMS to confirm the audit row:
SELECT TOP 1 StationName, OverrideType, OverrideDetails, Reason, OverrideUser, OverrideTime
FROM SupervisorOverrideLog
ORDER BY OverrideTime DESC;
One row should exist with StationName matching the station, OverrideType = 'Station ComponentID Set', OverrideDetails showing the before -&gt; after value, and OverrideUser matching your login.</t>
  </si>
  <si>
    <t>Clearing a ComponentID is also committed and audited as its own action</t>
  </si>
  <si>
    <t>On a station with a ComponentID set, blank the field instead of typing a new value, enter a reason, and commit.</t>
  </si>
  <si>
    <t>The MachineConfig existence check is marked not applicable for a clear. The commit succeeds and the station shows no ComponentID.</t>
  </si>
  <si>
    <t>Run the query from Step 6 again; the newest row should show OverrideType = 'Station ComponentID Clear'.</t>
  </si>
  <si>
    <t>Any station with a run schedule (Frame Fab, Boom Fab, Paint, Main Line, or a Sub area).</t>
  </si>
  <si>
    <t>Logged in with the Engineering, Supervisor, or Scheduler role. Access to the Gateway Output Console.</t>
  </si>
  <si>
    <t>Refresh Next Work Order can be fired from Station Rectification</t>
  </si>
  <si>
    <t>Select a station, enter a reason (e.g. "Spot check"), and click Refresh Next Work Order.</t>
  </si>
  <si>
    <t>A confirmation message appears once the refresh completes.</t>
  </si>
  <si>
    <t>The refresh runs the backend's own next-work-order logic for that station</t>
  </si>
  <si>
    <t>Watch the Gateway Output Console while the refresh runs.</t>
  </si>
  <si>
    <t>The gateway should log a call to the backend's getNextWorkOrder routine for the selected station, on the backend that owns it (BE1 for Frame/Boom/Paint stations, BE2 for everything else).</t>
  </si>
  <si>
    <t>A successful refresh writes an audit row</t>
  </si>
  <si>
    <t>Immediately after Step 1's successful refresh, without any further UI action, run the query below.</t>
  </si>
  <si>
    <t>Run this query in SSMS:
SELECT TOP 1 StationName, OverrideType, OverrideDetails, OverrideTime
FROM SupervisorOverrideLog
ORDER BY OverrideTime DESC;
OverrideType should be 'Run Schedule Refresh' and StationName should match the station you refreshed.</t>
  </si>
  <si>
    <t>A blank station or blank reason is rejected before anything runs</t>
  </si>
  <si>
    <t>Attempt the refresh again with the reason field left empty.</t>
  </si>
  <si>
    <t>The action is rejected with "A reason is required." and nothing is sent to the backend.</t>
  </si>
  <si>
    <t>At least one AMR exists in the Fleet/AMR Data tag folder with a ComponentID set in slot 1 or slot 2.</t>
  </si>
  <si>
    <t>Test with a user who has the Engineering, Supervisor, or Scheduler role, and (if available) a user who has none of those roles.</t>
  </si>
  <si>
    <t>A user with an authorized role can open the AMR Rectification tab</t>
  </si>
  <si>
    <t>Log in as a user with the Engineering, Supervisor, or Scheduler role and click the AMR Rectification tab.</t>
  </si>
  <si>
    <t>The tab opens and the AMR fleet table populates with every AMR and its current ComponentID / ComponentID 2.</t>
  </si>
  <si>
    <t>The fleet list loads from a single browse and read, not a poll</t>
  </si>
  <si>
    <t>Leave the AMR Rectification tab open without clicking anything for a minute or two.</t>
  </si>
  <si>
    <t>No errors appear in the Output Console while the tab is open and idle. The values do not update on their own without a manual refresh action.</t>
  </si>
  <si>
    <t>A user without an authorized role cannot reach Station Control Center</t>
  </si>
  <si>
    <t>Log in as a user who does not have the Engineering, Supervisor, or Scheduler role and try to navigate to Station Control Center.</t>
  </si>
  <si>
    <t>The page is not accessible to this user.</t>
  </si>
  <si>
    <t>An AMR with a known ComponentID in slot 1 and slot 2 (machineInfo/componentID and componentID2). Have a replacement ComponentID on hand.</t>
  </si>
  <si>
    <t>Logged in with the Engineering, Supervisor, or Scheduler role. Access to the Gateway Output Console for the 'STATION CONTROL CENTER' logger.</t>
  </si>
  <si>
    <t>Changing an AMR's ComponentID (slot 1) commits the new value</t>
  </si>
  <si>
    <t>On AMR Rectification, select the AMR, type a new ComponentID in the ComponentID field, enter a reason, and commit.</t>
  </si>
  <si>
    <t>A success message appears, and the AMR's row now shows the new ComponentID.</t>
  </si>
  <si>
    <t>Setting a new ComponentID automatically sends a fresh payload to the AMR</t>
  </si>
  <si>
    <t>Watch the Gateway Output Console right after the Step 1 commit.</t>
  </si>
  <si>
    <t>The success message notes that a new payload was sent to the AMR.</t>
  </si>
  <si>
    <t>The gateway should log a call to AMR.Commands.updateAMRPayload for this AMR immediately after the tag write.</t>
  </si>
  <si>
    <t>The same behavior applies to ComponentID 2 (slot 2)</t>
  </si>
  <si>
    <t>Repeat Steps 1-2 using the ComponentID 2 field on the same or another AMR.</t>
  </si>
  <si>
    <t>The commit succeeds and the success message again notes a new payload was sent.</t>
  </si>
  <si>
    <t>Every committed AMR change writes an audit row against a short AMR identifier</t>
  </si>
  <si>
    <t>Immediately after Steps 1 and 3, without any further UI action, run the query below.</t>
  </si>
  <si>
    <t>Run this query in SSMS:
SELECT TOP 2 StationName, OverrideType, OverrideDetails, OverrideTime
FROM SupervisorOverrideLog
ORDER BY OverrideTime DESC;
Both the slot 1 and slot 2 changes from Steps 1 and 3 should appear, with StationName in the form 'AMRnnn' (e.g. 'AMR002') and OverrideDetails containing the full 'AMR_nnn ComponentID...' before -&gt; after detail.</t>
  </si>
  <si>
    <t>A payload refresh failure does not fail the ComponentID change itself</t>
  </si>
  <si>
    <t>If possible, coordinate with development to simulate a payload-refresh failure (e.g. the AMR offline) and repeat Step 1's ComponentID change.</t>
  </si>
  <si>
    <t>If the payload refresh cannot run, the success message still confirms the ComponentID was committed, with a warning appended that the payload should be verified manually - the tag write is not rolled back.</t>
  </si>
  <si>
    <t>One whole-good serial that exists in MachineConfig and is NOT currently scheduled in Assembly. One serial (or made-up number) that does not exist in MachineConfig. One serial that IS already scheduled in Assembly (Scheduled, WIP, or Associated status). One M-prefixed componentID.</t>
  </si>
  <si>
    <t>A serial not found in MachineConfig is rejected before scheduling</t>
  </si>
  <si>
    <t>On Manual Assembly Scheduling, type the unknown serial into the search/verify field.</t>
  </si>
  <si>
    <t>The result shows invalid with the reason "[serial] is not in the MachineConfig table."</t>
  </si>
  <si>
    <t>An M-prefixed componentID is rejected outright</t>
  </si>
  <si>
    <t>Type an M-prefixed componentID into the same field.</t>
  </si>
  <si>
    <t>The result shows invalid with the reason "M-numbers cannot be scheduled in Assembly."</t>
  </si>
  <si>
    <t>A serial already scheduled in Assembly is rejected as a duplicate</t>
  </si>
  <si>
    <t>Type the serial that is already scheduled in Assembly.</t>
  </si>
  <si>
    <t>The result shows invalid, noting it is already scheduled in Assembly.</t>
  </si>
  <si>
    <t>Two or more whole-good serials that exist in MachineConfig and are not currently scheduled in Assembly, for a batch test. One additional serial that will fail validation (unknown or already scheduled), to prove partial batches work.</t>
  </si>
  <si>
    <t>A single valid serial can be scheduled for Assembly</t>
  </si>
  <si>
    <t>Enter one valid serial, choose Legacy or Main Line, enter a reason, and click Schedule.</t>
  </si>
  <si>
    <t>A success message confirms the serial was scheduled.</t>
  </si>
  <si>
    <t>The scheduled serial is written by the backend's create-order routine and audited</t>
  </si>
  <si>
    <t>Immediately after Step 1's successful schedule, without any further UI action, run the query below.</t>
  </si>
  <si>
    <t>Run this query in SSMS:
SELECT TOP 1 StationName, OverrideType, OverrideDetails, OverrideTime
FROM SupervisorOverrideLog
ORDER BY OverrideTime DESC;
OverrideType should be 'Manual Assembly Schedule', OverrideDetails should name the serial and legacy flag, and StationName should be TF0010 (Main Line) or LL0010 (Legacy) depending on your choice in Step 1.</t>
  </si>
  <si>
    <t>Multiple serials can be entered at once for a batch schedule</t>
  </si>
  <si>
    <t>Add several serials to the batch list, including one that will fail validation, and click Verify All.</t>
  </si>
  <si>
    <t>Each row is stamped VALID or INVALID, matching the individual validation result for that serial.</t>
  </si>
  <si>
    <t>Schedule All processes every valid serial and skips invalid ones with a reason</t>
  </si>
  <si>
    <t>With the batch still loaded, enter a reason and click Schedule All.</t>
  </si>
  <si>
    <t>The result message shows how many of the total were scheduled, and lists each skipped serial with its reason.</t>
  </si>
  <si>
    <t>One audit row is written per successfully scheduled serial in the batch</t>
  </si>
  <si>
    <t>Immediately after Step 4's batch schedule, without any further UI action, run the query below.</t>
  </si>
  <si>
    <t>Run this query in SSMS:
SELECT OverrideDetails, OverrideTime
FROM SupervisorOverrideLog
WHERE OverrideType = 'Manual Assembly Schedule'
ORDER BY OverrideTime DESC;
One row should exist for each serial that Step 4 reported as scheduled, and none for the serials it reported as skipped.</t>
  </si>
  <si>
    <t>An NWG componentID (M-prefix) with at least one fabrication WIP row (Frame or Boom) that is not already Complete. For Step 6, have one whose target row is Scheduled (Status 1) with an empty WIPTimestamp.</t>
  </si>
  <si>
    <t>Searching a componentID shows its full fabrication schedule</t>
  </si>
  <si>
    <t>On Work Order Reconciliation, search the NWG componentID.</t>
  </si>
  <si>
    <t>Every station this componentID has a schedule row at is listed with its current status.</t>
  </si>
  <si>
    <t>Any listed station can be marked complete directly</t>
  </si>
  <si>
    <t>Select one of the listed stations, enter a reason, and click Mark Complete at Station.</t>
  </si>
  <si>
    <t>A success message confirms the componentID was marked complete at that station.</t>
  </si>
  <si>
    <t>The completed row gets both a WIP and a Completed timestamp</t>
  </si>
  <si>
    <t>Run this query in SSMS (use Fabrication_BoomWIP for a boom station, Fabrication_FrameWIP for a frame station):
SELECT Status, WIPTimestamp, CompletedTimestamp
FROM Fabrication_BoomWIP
WHERE ComponentID = '[componentID]' AND Station = '[station]';
Status should be 3, CompletedTimestamp should be set, AND WIPTimestamp should be set (not NULL).</t>
  </si>
  <si>
    <t>The manual complete writes an audit row</t>
  </si>
  <si>
    <t>Run this query in SSMS:
SELECT TOP 1 StationName, OverrideType, OverrideDetails, OverrideTime
FROM SupervisorOverrideLog
ORDER BY OverrideTime DESC;
OverrideType should be 'NWG Mark Complete' with StationName matching the station and OverrideDetails naming the componentID.</t>
  </si>
  <si>
    <t>Get Next Work Order automatically refires for that station after the manual complete</t>
  </si>
  <si>
    <t>The gateway should log a getNextWorkOrder call for the completed station, the same as the manual Refresh Next Work Order action. Whether a new order actually appears depends on the backend's own logic for whether that station is idle or already holds a WIP order.</t>
  </si>
  <si>
    <t>Completing a Scheduled row that was never marked WIP still backfills the WIP timestamp</t>
  </si>
  <si>
    <t>Search a componentID whose target station row is Scheduled (Status 1) with an empty WIPTimestamp, and Mark Complete at that station.</t>
  </si>
  <si>
    <t>Run this query in SSMS:
SELECT Status, WIPTimestamp, CompletedTimestamp
FROM Fabrication_BoomWIP
WHERE ComponentID = '[componentID]' AND Station = '[station]';
Even though the row skipped the WIP step, WIPTimestamp should now be set alongside CompletedTimestamp - a completed row is never left with an empty WIP timestamp. An already-WIP row keeps its original WIP timestamp (it is not overwritten).</t>
  </si>
  <si>
    <t>A whole-good serial number with at least one assembly WIP row (WIPWorkOrders_Assembly) that is not already Complete. For Step 5, have one whose target row is Scheduled (Status 1) with an empty WIPTimestamp.</t>
  </si>
  <si>
    <t>Searching a serial shows its full assembly schedule</t>
  </si>
  <si>
    <t>On Work Order Reconciliation, search the whole-good serial number.</t>
  </si>
  <si>
    <t>Every assembly station this serial has a schedule row at is listed with its current status.</t>
  </si>
  <si>
    <t>Any listed assembly station can be marked complete directly</t>
  </si>
  <si>
    <t>A success message confirms the serial was marked complete at that station.</t>
  </si>
  <si>
    <t>Run this query in SSMS:
SELECT Status, WIPTimestamp, CompletedTimestamp
FROM WIPWorkOrders_Assembly
WHERE SerialNumber = '[serial]' AND StationName = '[station]';
Status should be 3, CompletedTimestamp should be set, AND WIPTimestamp should be set (not NULL).</t>
  </si>
  <si>
    <t>Run this query in SSMS:
SELECT TOP 1 StationName, OverrideType, OverrideDetails, OverrideTime
FROM SupervisorOverrideLog
ORDER BY OverrideTime DESC;
OverrideType should be 'Serial Mark Complete' with StationName matching the station and OverrideDetails naming the serial.</t>
  </si>
  <si>
    <t>Search a serial whose target station row is Scheduled (Status 1) with an empty WIPTimestamp, and Mark Complete at that station.</t>
  </si>
  <si>
    <t>Run this query in SSMS:
SELECT Status, WIPTimestamp, CompletedTimestamp
FROM WIPWorkOrders_Assembly
WHERE SerialNumber = '[serial]' AND StationName = '[station]';
WIPTimestamp should now be set alongside CompletedTimestamp. An already-WIP row keeps its original WIP timestamp (it is not overwritten).</t>
  </si>
  <si>
    <t>The gateway should log a getNextWorkOrder call for the completed station, the same behavior as TC0007's fabrication complete.</t>
  </si>
  <si>
    <t>Four NWG componentIDs in MachineConfig, one for each ItemName: Frame, Base, and either Fly, InnerMid, or OuterMid. A fourth componentID with an ItemName that is none of these (or not in MachineConfig at all), to prove the reject path.</t>
  </si>
  <si>
    <t>Logged in with the Engineering, Supervisor, or Scheduler role. None of the test componentIDs should already have any row (Scheduled/WIP/Complete) at their target pre-paint station.</t>
  </si>
  <si>
    <t>A Frame componentID schedules to the frame pre-paint station</t>
  </si>
  <si>
    <t>Search the Frame componentID, enter a reason, and click Schedule for Pre-Paint.</t>
  </si>
  <si>
    <t>A success message confirms the componentID was scheduled to pre-paint at TW0700.</t>
  </si>
  <si>
    <t>Run this query in SSMS:
SELECT Station, Status FROM Fabrication_FrameWIP
WHERE ComponentID = '[componentID]' AND Station = 'TW0700';
A row should exist with Status = 1.</t>
  </si>
  <si>
    <t>A Base componentID schedules to the boom base pre-paint station</t>
  </si>
  <si>
    <t>Search the Base componentID, enter a reason, and click Schedule for Pre-Paint.</t>
  </si>
  <si>
    <t>A success message confirms the componentID was scheduled to pre-paint at TT170B.</t>
  </si>
  <si>
    <t>Run this query in SSMS:
SELECT Station, Status FROM Fabrication_BoomWIP
WHERE ComponentID = '[componentID]' AND Station = 'TT170B';
A row should exist with Status = 1.</t>
  </si>
  <si>
    <t>A Fly, InnerMid, or OuterMid componentID schedules to the shared boom pre-paint station</t>
  </si>
  <si>
    <t>Search the Fly/InnerMid/OuterMid componentID, enter a reason, and click Schedule for Pre-Paint.</t>
  </si>
  <si>
    <t>A success message confirms the componentID was scheduled to pre-paint at TT170A.</t>
  </si>
  <si>
    <t>Run this query in SSMS:
SELECT Station, Status FROM Fabrication_BoomWIP
WHERE ComponentID = '[componentID]' AND Station = 'TT170A';
A row should exist with Status = 1.</t>
  </si>
  <si>
    <t>Each successful pre-paint schedule writes an audit row naming the section and station</t>
  </si>
  <si>
    <t>Immediately after Steps 1-3, without any further UI action, run the query below.</t>
  </si>
  <si>
    <t>Run this query in SSMS:
SELECT StationName, OverrideDetails, OverrideTime
FROM SupervisorOverrideLog
WHERE OverrideType = 'NWG Schedule PrePaint'
ORDER BY OverrideTime DESC;
One row should exist for each of Steps 1-3, StationName matching the pre-paint station and OverrideDetails naming the full componentID and item type.</t>
  </si>
  <si>
    <t>One NWG componentID with an active (Scheduled or WIP) pre-paint row at TW0700, TT170A, or TT170B. One additional componentID with NO pre-paint history at all.</t>
  </si>
  <si>
    <t>Logged in with the Engineering, Supervisor, or Scheduler role. Neither componentID should already have any row at TF000X.</t>
  </si>
  <si>
    <t>Scheduling for pre-assembly creates the TF000X entry</t>
  </si>
  <si>
    <t>Search the componentID with an active pre-paint row, enter a reason, and click Schedule for Pre-Assembly.</t>
  </si>
  <si>
    <t>A success message confirms the componentID was scheduled to pre-assembly (TF000X), and names the pre-paint station it was cleared out of.</t>
  </si>
  <si>
    <t>The new pre-assembly row is created in the fabrication WIP table</t>
  </si>
  <si>
    <t>Run this query in SSMS (use the correct table for Frame vs Boom):
SELECT Station, Status FROM Fabrication_BoomWIP
WHERE ComponentID = '[componentID]' AND Station = 'TF000X';
A row should exist with Status = 1.</t>
  </si>
  <si>
    <t>The prior pre-paint row is marked complete, not left dangling</t>
  </si>
  <si>
    <t>Run this query in SSMS:
SELECT Station, Status, WIPTimestamp, CompletedTimestamp FROM Fabrication_BoomWIP
WHERE ComponentID = '[componentID]' AND Station IN ('TW0700','TT170A','TT170B');
The prior pre-paint station's row should now show Status = 3 with both WIPTimestamp and CompletedTimestamp set.</t>
  </si>
  <si>
    <t>The audit row for the move lists both the new entry and what was cleared</t>
  </si>
  <si>
    <t>Run this query in SSMS:
SELECT StationName, OverrideDetails, OverrideTime
FROM SupervisorOverrideLog
WHERE OverrideType = 'NWG Schedule PreAssembly'
ORDER BY OverrideTime DESC;
The most recent row's OverrideDetails should reference TF000X and name the pre-paint station that was cleared.</t>
  </si>
  <si>
    <t>A componentID with no pre-paint history can still be scheduled for pre-assembly directly</t>
  </si>
  <si>
    <t>Search the componentID with no pre-paint history, enter a reason, and click Schedule for Pre-Assembly.</t>
  </si>
  <si>
    <t>The schedule still succeeds, and the confirmation message notes that nothing needed to be cleared.</t>
  </si>
  <si>
    <t>One NWG componentID with an active (Scheduled/WIP) pre-paint row. One componentID with a COMPLETE pre-paint row at its section station. One componentID already active at TF000X. One componentID whose pre-paint row is Scrapped, Abort, or Non-Conformance.</t>
  </si>
  <si>
    <t>Scheduling the same componentID for pre-paint twice while active is blocked</t>
  </si>
  <si>
    <t>Search the componentID that already has an active pre-paint row and click Schedule for Pre-Paint again.</t>
  </si>
  <si>
    <t>The action is rejected with a message that it already has a row at that station. No second fabrication WIP row is created.</t>
  </si>
  <si>
    <t>Pre-paint is blocked even when the station's row is already COMPLETE</t>
  </si>
  <si>
    <t>Search the componentID whose pre-paint row is Complete (Status 3) and click Schedule for Pre-Paint.</t>
  </si>
  <si>
    <t>The action is rejected with "...already has a Complete row at [station]; cannot schedule the same pre-paint station twice." A completed station is never re-scheduled.</t>
  </si>
  <si>
    <t>Scheduling the same componentID for pre-assembly twice is blocked, including when complete</t>
  </si>
  <si>
    <t>Search the componentID already active (or complete) at TF000X and click Schedule for Pre-Assembly again.</t>
  </si>
  <si>
    <t>The action is rejected with a message that TF000X already has an entry for this componentID. No second row is created.</t>
  </si>
  <si>
    <t>Neither blocked attempt writes an audit row</t>
  </si>
  <si>
    <t>Immediately after the blocked attempts in Steps 1-3, without any further UI action, run the query below.</t>
  </si>
  <si>
    <t>Run this query in SSMS:
SELECT TOP 3 OverrideType, OverrideTime FROM SupervisorOverrideLog
ORDER BY OverrideTime DESC;
The most recent rows should be from the original scheduling, not from the blocked attempts - a rejected action does not log.</t>
  </si>
  <si>
    <t>A station with a ComponentID currently set (not actively building, no AMR bound). An AMR with a ComponentID currently set in slot 1, bound to a known station.</t>
  </si>
  <si>
    <t>Clearing a station's ComponentID skips the MachineConfig existence check</t>
  </si>
  <si>
    <t>On Station Rectification, select the station, leave the new ComponentID field blank, enter a reason, and commit.</t>
  </si>
  <si>
    <t>The "New ComponentID exists in MachineConfig" check is marked not applicable rather than failed. The commit succeeds.</t>
  </si>
  <si>
    <t>Run this query:
SELECT TOP 1 OverrideType, OverrideDetails FROM SupervisorOverrideLog ORDER BY OverrideTime DESC;
OverrideType should be 'Station ComponentID Clear' and OverrideDetails should show the prior value going to (blank).</t>
  </si>
  <si>
    <t>Clearing an AMR's ComponentID also refreshes the AMR payload</t>
  </si>
  <si>
    <t>On AMR Rectification, select the AMR, clear its ComponentID field, enter a reason, and commit. Watch the Gateway Output Console.</t>
  </si>
  <si>
    <t>The success message notes a new payload was sent to the AMR - the same as setting a value.</t>
  </si>
  <si>
    <t>An AMR.Commands.updateAMRPayload call should appear in the Gateway Output Console for the clear, just like a set. Every componentID change (set OR clear) refreshes the AMR payload.</t>
  </si>
  <si>
    <t>Unassigning an AMR's ComponentID does not change the station it was bound to</t>
  </si>
  <si>
    <t>Before Step 2, note the station this AMR was assigned to (AMRNumberAssignedToStation). After the clear, check that same station on Station Rectification.</t>
  </si>
  <si>
    <t>The station's own ComponentID is unchanged - clearing the AMR side only clears the AMR's own tag.</t>
  </si>
  <si>
    <t>Clearing an already-blank ComponentID is treated as no change, not a successful no-op</t>
  </si>
  <si>
    <t>Attempt to clear a station's ComponentID field that is already blank.</t>
  </si>
  <si>
    <t>The commit is rejected with a message that the value already matches - it does not silently "succeed" with nothing to write.</t>
  </si>
  <si>
    <t>A station/condition known to make the backend's getNextWorkOrder routine error (a known-fragile BE routine) - coordinate with development to pick a reliable trigger, or simulate one.</t>
  </si>
  <si>
    <t>A direct Refresh Next Work Order failure surfaces a readable message, not a raw error</t>
  </si>
  <si>
    <t>On Station Rectification, select the station known to trigger the backend failure, enter a reason, and click Refresh Next Work Order.</t>
  </si>
  <si>
    <t>A plain-language message appears explaining this is a back-end issue, not a problem with the station change.</t>
  </si>
  <si>
    <t>The full failure detail is logged to the Gateway under the 'STATION CONTROL CENTER' logger.</t>
  </si>
  <si>
    <t>A Mark Complete or Mark WIP action still reports success even when its automatic refire fails</t>
  </si>
  <si>
    <t>On Work Order Reconciliation, mark a schedule entry complete or WIP at the same station known to trigger the backend failure.</t>
  </si>
  <si>
    <t>The success message for the mark still appears, with a note appended: "(Auto next-work-order refresh did not run - use \"Refresh Next Work Order\" on the Station Rectification tab if [station] did not update.)"</t>
  </si>
  <si>
    <t>Run this query:
SELECT TOP 1 OverrideType, OverrideDetails, OverrideTime FROM SupervisorOverrideLog
ORDER BY OverrideTime DESC;
A row for the mark action itself should be present and current - the mark commits independently of whether its follow-up refresh succeeds.</t>
  </si>
  <si>
    <t>Recovering with a manual Refresh Next Work Order once the backend condition clears</t>
  </si>
  <si>
    <t>Once the backend condition is resolved, click Refresh Next Work Order for the same station again.</t>
  </si>
  <si>
    <t>The refresh succeeds with a plain confirmation message this time.</t>
  </si>
  <si>
    <t>Run the query from Step 2 again; a fresh 'Run Schedule Refresh' row should now be present with a current OverrideTime.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</si>
</sst>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3" x14ac:knownFonts="1">
    <font>
      <sz val="11"/>
      <color theme="1"/>
      <name val="Calibri"/>
      <family val="2"/>
      <scheme val="minor"/>
    </font>
    <font>
      <sz val="14"/>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sz val="16"/>
      <name val="Calibri"/>
    </font>
    <font>
      <sz val="11"/>
      <name val="Calibri"/>
    </font>
    <font>
      <b/>
      <sz val="11"/>
      <name val="Calibri"/>
    </font>
    <font>
      <b/>
      <sz val="18"/>
      <color rgb="FF1F4E78"/>
      <name val="Calibri"/>
    </font>
    <font>
      <b/>
      <sz val="11"/>
      <color rgb="FF1F4E78"/>
      <name val="Calibri"/>
    </font>
    <font>
      <b/>
      <sz val="11"/>
      <color rgb="FF006100"/>
      <name val="Calibri"/>
    </font>
    <font>
      <b/>
      <sz val="14"/>
      <color rgb="FF000000"/>
      <name val="Calibri"/>
      <family val="2"/>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5"/>
        <bgColor indexed="64"/>
      </patternFill>
    </fill>
    <fill>
      <patternFill patternType="solid">
        <fgColor theme="4" tint="0.79998168889431442"/>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applyAlignment="1">
      <alignment horizontal="center"/>
    </xf>
    <xf numFmtId="0" fontId="0" fillId="2" borderId="0" xfId="0" applyFill="1" applyAlignment="1">
      <alignment horizontal="center"/>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1" fillId="0" borderId="0" xfId="0" applyFont="1"/>
    <xf numFmtId="0" fontId="2" fillId="0" borderId="0" xfId="0" applyFont="1"/>
    <xf numFmtId="0" fontId="3" fillId="0" borderId="0" xfId="0" applyFont="1"/>
    <xf numFmtId="0" fontId="4" fillId="0" borderId="0" xfId="0" applyFont="1"/>
    <xf numFmtId="0" fontId="0" fillId="0" borderId="0" xfId="0" applyAlignment="1">
      <alignment wrapText="1"/>
    </xf>
    <xf numFmtId="0" fontId="8" fillId="0" borderId="0" xfId="0" applyFont="1"/>
    <xf numFmtId="0" fontId="7" fillId="0" borderId="0" xfId="0" applyFont="1"/>
    <xf numFmtId="0" fontId="9" fillId="0" borderId="0" xfId="0" applyFont="1"/>
    <xf numFmtId="9" fontId="10" fillId="0" borderId="0" xfId="0" applyNumberFormat="1" applyFont="1"/>
    <xf numFmtId="164" fontId="6" fillId="0" borderId="0" xfId="0" applyNumberFormat="1" applyFont="1"/>
    <xf numFmtId="0" fontId="7" fillId="0" borderId="0" xfId="0" applyFont="1" applyAlignment="1">
      <alignment horizontal="center" vertical="center" wrapText="1"/>
    </xf>
    <xf numFmtId="0" fontId="0" fillId="0" borderId="0" xfId="0" applyAlignment="1">
      <alignment horizontal="center" vertical="center"/>
    </xf>
    <xf numFmtId="9" fontId="0" fillId="0" borderId="0" xfId="0" applyNumberFormat="1" applyAlignment="1">
      <alignment horizontal="center" vertical="center"/>
    </xf>
    <xf numFmtId="0" fontId="0" fillId="0" borderId="0" xfId="0" applyAlignment="1">
      <alignment vertical="center"/>
    </xf>
    <xf numFmtId="0" fontId="0" fillId="0" borderId="0" xfId="0" applyAlignment="1">
      <alignment vertical="center" wrapText="1"/>
    </xf>
    <xf numFmtId="164" fontId="0" fillId="0" borderId="0" xfId="0" applyNumberFormat="1" applyAlignment="1">
      <alignment horizontal="center" vertical="center"/>
    </xf>
    <xf numFmtId="0" fontId="5" fillId="0" borderId="0" xfId="0" applyFont="1"/>
    <xf numFmtId="0" fontId="6" fillId="0" borderId="0" xfId="0" applyFont="1" applyAlignment="1">
      <alignment vertical="top" wrapText="1"/>
    </xf>
    <xf numFmtId="0" fontId="6" fillId="0" borderId="0" xfId="0" applyFont="1" applyAlignment="1">
      <alignment horizontal="center" vertical="top" wrapText="1"/>
    </xf>
    <xf numFmtId="0" fontId="6" fillId="0" borderId="0" xfId="0" applyFont="1" applyAlignment="1">
      <alignment horizontal="left" vertical="top" wrapText="1"/>
    </xf>
  </cellXfs>
  <cellStyles count="1">
    <cellStyle name="Normal" xfId="0" builtinId="0"/>
  </cellStyles>
  <dxfs count="93">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ont>
        <sz val="11"/>
        <color rgb="FF9C0006"/>
      </font>
      <fill>
        <patternFill patternType="solid">
          <fgColor rgb="FFFFC7CE"/>
          <bgColor rgb="FFFFC7CE"/>
        </patternFill>
      </fill>
    </dxf>
    <dxf>
      <fill>
        <patternFill patternType="solid">
          <fgColor rgb="FFE7E6E6"/>
          <bgColor rgb="FFE7E6E6"/>
        </patternFill>
      </fill>
    </dxf>
    <dxf>
      <font>
        <sz val="11"/>
        <color rgb="FF006100"/>
      </font>
      <fill>
        <patternFill patternType="solid">
          <fgColor rgb="FFC6EFCE"/>
          <bgColor rgb="FFC6EFCE"/>
        </patternFill>
      </fill>
    </dxf>
    <dxf>
      <fill>
        <patternFill>
          <bgColor rgb="FF92D050"/>
        </patternFill>
      </fill>
    </dxf>
    <dxf>
      <fill>
        <patternFill>
          <bgColor rgb="FFFF8181"/>
        </patternFill>
      </fill>
    </dxf>
    <dxf>
      <font>
        <sz val="11"/>
        <color rgb="FF9C0006"/>
      </font>
      <fill>
        <patternFill patternType="solid">
          <fgColor rgb="FFFFC7CE"/>
          <bgColor rgb="FFFFC7CE"/>
        </patternFill>
      </fill>
    </dxf>
    <dxf>
      <font>
        <sz val="11"/>
        <color rgb="FF9C5700"/>
      </font>
      <fill>
        <patternFill patternType="solid">
          <fgColor rgb="FFFFEB9C"/>
          <bgColor rgb="FFFFEB9C"/>
        </patternFill>
      </fill>
    </dxf>
    <dxf>
      <font>
        <sz val="11"/>
        <color rgb="FF006100"/>
      </font>
      <fill>
        <patternFill patternType="solid">
          <fgColor rgb="FFC6EFCE"/>
          <bgColor rgb="FFC6EFCE"/>
        </patternFill>
      </fill>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alignment horizontal="general" vertical="bottom" wrapText="1"/>
    </dxf>
    <dxf>
      <numFmt numFmtId="0" formatCode="General"/>
      <alignment horizontal="general" vertical="bottom" wrapText="1"/>
    </dxf>
    <dxf>
      <alignment horizontal="general" vertical="bottom" wrapText="1"/>
    </dxf>
    <dxf>
      <font>
        <color theme="1"/>
      </font>
    </dxf>
    <dxf>
      <font>
        <color theme="1"/>
      </font>
    </dxf>
    <dxf>
      <font>
        <color theme="1"/>
      </font>
    </dxf>
    <dxf>
      <font>
        <strike val="0"/>
        <condense val="0"/>
        <extend val="0"/>
        <outline val="0"/>
        <shadow val="0"/>
        <vertAlign val="baseline"/>
        <sz val="11"/>
        <color theme="1"/>
        <name val="Calibri"/>
        <family val="2"/>
        <scheme val="minor"/>
      </font>
    </dxf>
    <dxf>
      <font>
        <color theme="1"/>
      </font>
    </dxf>
    <dxf>
      <font>
        <color theme="1"/>
      </font>
    </dxf>
    <dxf>
      <font>
        <color theme="1"/>
      </font>
    </dxf>
    <dxf>
      <font>
        <color theme="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1323975</xdr:colOff>
          <xdr:row>0</xdr:row>
          <xdr:rowOff>228600</xdr:rowOff>
        </xdr:from>
        <xdr:to>
          <xdr:col>6</xdr:col>
          <xdr:colOff>5200650</xdr:colOff>
          <xdr:row>3</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Add Test 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276225</xdr:rowOff>
        </xdr:from>
        <xdr:to>
          <xdr:col>3</xdr:col>
          <xdr:colOff>1152525</xdr:colOff>
          <xdr:row>2</xdr:row>
          <xdr:rowOff>238125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Step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3771900</xdr:colOff>
          <xdr:row>1</xdr:row>
          <xdr:rowOff>9525</xdr:rowOff>
        </xdr:from>
        <xdr:to>
          <xdr:col>5</xdr:col>
          <xdr:colOff>38100</xdr:colOff>
          <xdr:row>2</xdr:row>
          <xdr:rowOff>228600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Sub Step ID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F5" totalsRowShown="0" headerRowDxfId="92" dataDxfId="91">
  <autoFilter ref="A3:F5" xr:uid="{00000000-0009-0000-0100-000001000000}"/>
  <tableColumns count="6">
    <tableColumn id="8" xr3:uid="{00000000-0010-0000-0000-000008000000}" name="Status" dataDxfId="90"/>
    <tableColumn id="6" xr3:uid="{00000000-0010-0000-0000-000006000000}" name="Inquirer" dataDxfId="89"/>
    <tableColumn id="7" xr3:uid="{00000000-0010-0000-0000-000007000000}" name="Audience" dataDxfId="88"/>
    <tableColumn id="1" xr3:uid="{00000000-0010-0000-0000-000001000000}" name="Target Audience" dataDxfId="87"/>
    <tableColumn id="2" xr3:uid="{00000000-0010-0000-0000-000002000000}" name="Question" dataDxfId="86"/>
    <tableColumn id="3" xr3:uid="{00000000-0010-0000-0000-000003000000}" name="Anwser" dataDxfId="85"/>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B3:B7" totalsRowShown="0">
  <autoFilter ref="B3:B7" xr:uid="{00000000-0009-0000-0100-000002000000}"/>
  <tableColumns count="1">
    <tableColumn id="1" xr3:uid="{00000000-0010-0000-0100-000001000000}" name="StatusTabl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3:D8" totalsRowShown="0">
  <autoFilter ref="D3:D8" xr:uid="{00000000-0009-0000-0100-000003000000}"/>
  <tableColumns count="1">
    <tableColumn id="1" xr3:uid="{00000000-0010-0000-0200-000001000000}" name="TestStepStatus"/>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oC_Table" displayName="ToC_Table" ref="A6:F20">
  <tableColumns count="6">
    <tableColumn id="1" xr3:uid="{00000000-0010-0000-0300-000001000000}" name="Test Case ID"/>
    <tableColumn id="2" xr3:uid="{00000000-0010-0000-0300-000002000000}" name="Status"/>
    <tableColumn id="3" xr3:uid="{00000000-0010-0000-0300-000003000000}" name="Developer"/>
    <tableColumn id="4" xr3:uid="{00000000-0010-0000-0300-000004000000}" name="Test Case Title"/>
    <tableColumn id="5" xr3:uid="{00000000-0010-0000-0300-000005000000}" name="Test Case Category"/>
    <tableColumn id="6" xr3:uid="{00000000-0010-0000-0300-000006000000}" name="Execution Dat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C_Template_Table" displayName="TC_Template_Table" ref="A10:I12" totalsRowShown="0" dataDxfId="84">
  <autoFilter ref="A10:I12"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StepID" dataDxfId="83"/>
    <tableColumn id="8" xr3:uid="{00000000-0010-0000-0400-000008000000}" name="Sub Step ID" dataDxfId="82"/>
    <tableColumn id="2" xr3:uid="{00000000-0010-0000-0400-000002000000}" name="Status" dataDxfId="81"/>
    <tableColumn id="3" xr3:uid="{00000000-0010-0000-0400-000003000000}" name="Description" dataDxfId="80"/>
    <tableColumn id="4" xr3:uid="{00000000-0010-0000-0400-000004000000}" name="Test Case Action" dataDxfId="79"/>
    <tableColumn id="5" xr3:uid="{00000000-0010-0000-0400-000005000000}" name="User Experience" dataDxfId="78"/>
    <tableColumn id="9" xr3:uid="{00000000-0010-0000-0400-000009000000}" name="PLC Interactions" dataDxfId="77"/>
    <tableColumn id="6" xr3:uid="{00000000-0010-0000-0400-000006000000}" name="SCADA/MES Interactions" dataDxfId="76"/>
    <tableColumn id="7" xr3:uid="{00000000-0010-0000-0400-000007000000}" name="DB Interactions" dataDxfId="7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C0001_Table" displayName="TC0001_Table" ref="A10:I16">
  <autoFilter ref="A10:I16"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500-000001000000}" name="StepID"/>
    <tableColumn id="2" xr3:uid="{00000000-0010-0000-0500-000002000000}" name="Sub Step ID"/>
    <tableColumn id="3" xr3:uid="{00000000-0010-0000-0500-000003000000}" name="Status"/>
    <tableColumn id="4" xr3:uid="{00000000-0010-0000-0500-000004000000}" name="Description"/>
    <tableColumn id="5" xr3:uid="{00000000-0010-0000-0500-000005000000}" name="Test Case Action"/>
    <tableColumn id="6" xr3:uid="{00000000-0010-0000-0500-000006000000}" name="User Experience"/>
    <tableColumn id="7" xr3:uid="{00000000-0010-0000-0500-000007000000}" name="PLC Interactions"/>
    <tableColumn id="8" xr3:uid="{00000000-0010-0000-0500-000008000000}" name="SCADA/MES Interactions"/>
    <tableColumn id="9" xr3:uid="{00000000-0010-0000-0500-000009000000}" name="DB Interactions"/>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C0002_Table" displayName="TC0002_Table" ref="A10:I14">
  <autoFilter ref="A10:I14"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600-000001000000}" name="StepID"/>
    <tableColumn id="2" xr3:uid="{00000000-0010-0000-0600-000002000000}" name="Sub Step ID"/>
    <tableColumn id="3" xr3:uid="{00000000-0010-0000-0600-000003000000}" name="Status"/>
    <tableColumn id="4" xr3:uid="{00000000-0010-0000-0600-000004000000}" name="Description"/>
    <tableColumn id="5" xr3:uid="{00000000-0010-0000-0600-000005000000}" name="Test Case Action"/>
    <tableColumn id="6" xr3:uid="{00000000-0010-0000-0600-000006000000}" name="User Experience"/>
    <tableColumn id="7" xr3:uid="{00000000-0010-0000-0600-000007000000}" name="PLC Interactions"/>
    <tableColumn id="8" xr3:uid="{00000000-0010-0000-0600-000008000000}" name="SCADA/MES Interactions"/>
    <tableColumn id="9" xr3:uid="{00000000-0010-0000-0600-000009000000}" name="DB Interaction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C0003_Table" displayName="TC0003_Table" ref="A10:I13">
  <autoFilter ref="A10:I1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StepID"/>
    <tableColumn id="2" xr3:uid="{00000000-0010-0000-0700-000002000000}" name="Sub Step ID"/>
    <tableColumn id="3" xr3:uid="{00000000-0010-0000-0700-000003000000}" name="Status"/>
    <tableColumn id="4" xr3:uid="{00000000-0010-0000-0700-000004000000}" name="Description"/>
    <tableColumn id="5" xr3:uid="{00000000-0010-0000-0700-000005000000}" name="Test Case Action"/>
    <tableColumn id="6" xr3:uid="{00000000-0010-0000-0700-000006000000}" name="User Experience"/>
    <tableColumn id="7" xr3:uid="{00000000-0010-0000-0700-000007000000}" name="PLC Interactions"/>
    <tableColumn id="8" xr3:uid="{00000000-0010-0000-0700-000008000000}" name="SCADA/MES Interactions"/>
    <tableColumn id="9" xr3:uid="{00000000-0010-0000-0700-000009000000}" name="DB Interaction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C0004_Table" displayName="TC0004_Table" ref="A10:I15">
  <autoFilter ref="A10:I15" xr:uid="{00000000-0009-0000-0100-00000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800-000001000000}" name="StepID"/>
    <tableColumn id="2" xr3:uid="{00000000-0010-0000-0800-000002000000}" name="Sub Step ID"/>
    <tableColumn id="3" xr3:uid="{00000000-0010-0000-0800-000003000000}" name="Status"/>
    <tableColumn id="4" xr3:uid="{00000000-0010-0000-0800-000004000000}" name="Description"/>
    <tableColumn id="5" xr3:uid="{00000000-0010-0000-0800-000005000000}" name="Test Case Action"/>
    <tableColumn id="6" xr3:uid="{00000000-0010-0000-0800-000006000000}" name="User Experience"/>
    <tableColumn id="7" xr3:uid="{00000000-0010-0000-0800-000007000000}" name="PLC Interactions"/>
    <tableColumn id="8" xr3:uid="{00000000-0010-0000-0800-000008000000}" name="SCADA/MES Interactions"/>
    <tableColumn id="9" xr3:uid="{00000000-0010-0000-0800-000009000000}" name="DB Interactions"/>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C0005_Table" displayName="TC0005_Table" ref="A10:I13">
  <autoFilter ref="A10:I13"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900-000001000000}" name="StepID"/>
    <tableColumn id="2" xr3:uid="{00000000-0010-0000-0900-000002000000}" name="Sub Step ID"/>
    <tableColumn id="3" xr3:uid="{00000000-0010-0000-0900-000003000000}" name="Status"/>
    <tableColumn id="4" xr3:uid="{00000000-0010-0000-0900-000004000000}" name="Description"/>
    <tableColumn id="5" xr3:uid="{00000000-0010-0000-0900-000005000000}" name="Test Case Action"/>
    <tableColumn id="6" xr3:uid="{00000000-0010-0000-0900-000006000000}" name="User Experience"/>
    <tableColumn id="7" xr3:uid="{00000000-0010-0000-0900-000007000000}" name="PLC Interactions"/>
    <tableColumn id="8" xr3:uid="{00000000-0010-0000-0900-000008000000}" name="SCADA/MES Interactions"/>
    <tableColumn id="9" xr3:uid="{00000000-0010-0000-0900-000009000000}" name="DB Interactions"/>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C0006_Table" displayName="TC0006_Table" ref="A10:I15">
  <autoFilter ref="A10:I15"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A00-000001000000}" name="StepID"/>
    <tableColumn id="2" xr3:uid="{00000000-0010-0000-0A00-000002000000}" name="Sub Step ID"/>
    <tableColumn id="3" xr3:uid="{00000000-0010-0000-0A00-000003000000}" name="Status"/>
    <tableColumn id="4" xr3:uid="{00000000-0010-0000-0A00-000004000000}" name="Description"/>
    <tableColumn id="5" xr3:uid="{00000000-0010-0000-0A00-000005000000}" name="Test Case Action"/>
    <tableColumn id="6" xr3:uid="{00000000-0010-0000-0A00-000006000000}" name="User Experience"/>
    <tableColumn id="7" xr3:uid="{00000000-0010-0000-0A00-000007000000}" name="PLC Interactions"/>
    <tableColumn id="8" xr3:uid="{00000000-0010-0000-0A00-000008000000}" name="SCADA/MES Interactions"/>
    <tableColumn id="9" xr3:uid="{00000000-0010-0000-0A00-000009000000}" name="DB Interaction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C0007_Table" displayName="TC0007_Table" ref="A10:I16">
  <autoFilter ref="A10:I16"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B00-000001000000}" name="StepID"/>
    <tableColumn id="2" xr3:uid="{00000000-0010-0000-0B00-000002000000}" name="Sub Step ID"/>
    <tableColumn id="3" xr3:uid="{00000000-0010-0000-0B00-000003000000}" name="Status"/>
    <tableColumn id="4" xr3:uid="{00000000-0010-0000-0B00-000004000000}" name="Description"/>
    <tableColumn id="5" xr3:uid="{00000000-0010-0000-0B00-000005000000}" name="Test Case Action"/>
    <tableColumn id="6" xr3:uid="{00000000-0010-0000-0B00-000006000000}" name="User Experience"/>
    <tableColumn id="7" xr3:uid="{00000000-0010-0000-0B00-000007000000}" name="PLC Interactions"/>
    <tableColumn id="8" xr3:uid="{00000000-0010-0000-0B00-000008000000}" name="SCADA/MES Interactions"/>
    <tableColumn id="9" xr3:uid="{00000000-0010-0000-0B00-000009000000}" name="DB Interaction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C0008_Table" displayName="TC0008_Table" ref="A10:I16">
  <autoFilter ref="A10:I16" xr:uid="{00000000-0009-0000-0100-00000D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C00-000001000000}" name="StepID"/>
    <tableColumn id="2" xr3:uid="{00000000-0010-0000-0C00-000002000000}" name="Sub Step ID"/>
    <tableColumn id="3" xr3:uid="{00000000-0010-0000-0C00-000003000000}" name="Status"/>
    <tableColumn id="4" xr3:uid="{00000000-0010-0000-0C00-000004000000}" name="Description"/>
    <tableColumn id="5" xr3:uid="{00000000-0010-0000-0C00-000005000000}" name="Test Case Action"/>
    <tableColumn id="6" xr3:uid="{00000000-0010-0000-0C00-000006000000}" name="User Experience"/>
    <tableColumn id="7" xr3:uid="{00000000-0010-0000-0C00-000007000000}" name="PLC Interactions"/>
    <tableColumn id="8" xr3:uid="{00000000-0010-0000-0C00-000008000000}" name="SCADA/MES Interactions"/>
    <tableColumn id="9" xr3:uid="{00000000-0010-0000-0C00-000009000000}" name="DB Interaction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C0009_Table" displayName="TC0009_Table" ref="A10:I14">
  <autoFilter ref="A10:I14" xr:uid="{00000000-0009-0000-0100-00000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D00-000001000000}" name="StepID"/>
    <tableColumn id="2" xr3:uid="{00000000-0010-0000-0D00-000002000000}" name="Sub Step ID"/>
    <tableColumn id="3" xr3:uid="{00000000-0010-0000-0D00-000003000000}" name="Status"/>
    <tableColumn id="4" xr3:uid="{00000000-0010-0000-0D00-000004000000}" name="Description"/>
    <tableColumn id="5" xr3:uid="{00000000-0010-0000-0D00-000005000000}" name="Test Case Action"/>
    <tableColumn id="6" xr3:uid="{00000000-0010-0000-0D00-000006000000}" name="User Experience"/>
    <tableColumn id="7" xr3:uid="{00000000-0010-0000-0D00-000007000000}" name="PLC Interactions"/>
    <tableColumn id="8" xr3:uid="{00000000-0010-0000-0D00-000008000000}" name="SCADA/MES Interactions"/>
    <tableColumn id="9" xr3:uid="{00000000-0010-0000-0D00-000009000000}" name="DB Interaction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C0010_Table" displayName="TC0010_Table" ref="A10:I15">
  <autoFilter ref="A10:I15" xr:uid="{00000000-0009-0000-0100-00000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E00-000001000000}" name="StepID"/>
    <tableColumn id="2" xr3:uid="{00000000-0010-0000-0E00-000002000000}" name="Sub Step ID"/>
    <tableColumn id="3" xr3:uid="{00000000-0010-0000-0E00-000003000000}" name="Status"/>
    <tableColumn id="4" xr3:uid="{00000000-0010-0000-0E00-000004000000}" name="Description"/>
    <tableColumn id="5" xr3:uid="{00000000-0010-0000-0E00-000005000000}" name="Test Case Action"/>
    <tableColumn id="6" xr3:uid="{00000000-0010-0000-0E00-000006000000}" name="User Experience"/>
    <tableColumn id="7" xr3:uid="{00000000-0010-0000-0E00-000007000000}" name="PLC Interactions"/>
    <tableColumn id="8" xr3:uid="{00000000-0010-0000-0E00-000008000000}" name="SCADA/MES Interactions"/>
    <tableColumn id="9" xr3:uid="{00000000-0010-0000-0E00-000009000000}" name="DB Interaction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C0011_Table" displayName="TC0011_Table" ref="A10:I14">
  <autoFilter ref="A10:I14" xr:uid="{00000000-0009-0000-0100-00001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F00-000001000000}" name="StepID"/>
    <tableColumn id="2" xr3:uid="{00000000-0010-0000-0F00-000002000000}" name="Sub Step ID"/>
    <tableColumn id="3" xr3:uid="{00000000-0010-0000-0F00-000003000000}" name="Status"/>
    <tableColumn id="4" xr3:uid="{00000000-0010-0000-0F00-000004000000}" name="Description"/>
    <tableColumn id="5" xr3:uid="{00000000-0010-0000-0F00-000005000000}" name="Test Case Action"/>
    <tableColumn id="6" xr3:uid="{00000000-0010-0000-0F00-000006000000}" name="User Experience"/>
    <tableColumn id="7" xr3:uid="{00000000-0010-0000-0F00-000007000000}" name="PLC Interactions"/>
    <tableColumn id="8" xr3:uid="{00000000-0010-0000-0F00-000008000000}" name="SCADA/MES Interactions"/>
    <tableColumn id="9" xr3:uid="{00000000-0010-0000-0F00-000009000000}" name="DB Interactions"/>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C0012_Table" displayName="TC0012_Table" ref="A10:I15">
  <autoFilter ref="A10:I15" xr:uid="{00000000-0009-0000-0100-00001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1000-000001000000}" name="StepID"/>
    <tableColumn id="2" xr3:uid="{00000000-0010-0000-1000-000002000000}" name="Sub Step ID"/>
    <tableColumn id="3" xr3:uid="{00000000-0010-0000-1000-000003000000}" name="Status"/>
    <tableColumn id="4" xr3:uid="{00000000-0010-0000-1000-000004000000}" name="Description"/>
    <tableColumn id="5" xr3:uid="{00000000-0010-0000-1000-000005000000}" name="Test Case Action"/>
    <tableColumn id="6" xr3:uid="{00000000-0010-0000-1000-000006000000}" name="User Experience"/>
    <tableColumn id="7" xr3:uid="{00000000-0010-0000-1000-000007000000}" name="PLC Interactions"/>
    <tableColumn id="8" xr3:uid="{00000000-0010-0000-1000-000008000000}" name="SCADA/MES Interactions"/>
    <tableColumn id="9" xr3:uid="{00000000-0010-0000-1000-000009000000}" name="DB Interactions"/>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C0013_Table" displayName="TC0013_Table" ref="A10:I14">
  <autoFilter ref="A10:I14" xr:uid="{00000000-0009-0000-0100-00001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1100-000001000000}" name="StepID"/>
    <tableColumn id="2" xr3:uid="{00000000-0010-0000-1100-000002000000}" name="Sub Step ID"/>
    <tableColumn id="3" xr3:uid="{00000000-0010-0000-1100-000003000000}" name="Status"/>
    <tableColumn id="4" xr3:uid="{00000000-0010-0000-1100-000004000000}" name="Description"/>
    <tableColumn id="5" xr3:uid="{00000000-0010-0000-1100-000005000000}" name="Test Case Action"/>
    <tableColumn id="6" xr3:uid="{00000000-0010-0000-1100-000006000000}" name="User Experience"/>
    <tableColumn id="7" xr3:uid="{00000000-0010-0000-1100-000007000000}" name="PLC Interactions"/>
    <tableColumn id="8" xr3:uid="{00000000-0010-0000-1100-000008000000}" name="SCADA/MES Interactions"/>
    <tableColumn id="9" xr3:uid="{00000000-0010-0000-1100-000009000000}" name="DB Interaction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C0014_Table" displayName="TC0014_Table" ref="A10:I13">
  <autoFilter ref="A10:I13" xr:uid="{00000000-0009-0000-0100-00001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1200-000001000000}" name="StepID"/>
    <tableColumn id="2" xr3:uid="{00000000-0010-0000-1200-000002000000}" name="Sub Step ID"/>
    <tableColumn id="3" xr3:uid="{00000000-0010-0000-1200-000003000000}" name="Status"/>
    <tableColumn id="4" xr3:uid="{00000000-0010-0000-1200-000004000000}" name="Description"/>
    <tableColumn id="5" xr3:uid="{00000000-0010-0000-1200-000005000000}" name="Test Case Action"/>
    <tableColumn id="6" xr3:uid="{00000000-0010-0000-1200-000006000000}" name="User Experience"/>
    <tableColumn id="7" xr3:uid="{00000000-0010-0000-1200-000007000000}" name="PLC Interactions"/>
    <tableColumn id="8" xr3:uid="{00000000-0010-0000-1200-000008000000}" name="SCADA/MES Interactions"/>
    <tableColumn id="9" xr3:uid="{00000000-0010-0000-1200-000009000000}" name="DB Interactions"/>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5.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F4"/>
  <sheetViews>
    <sheetView workbookViewId="0">
      <selection activeCell="E20" sqref="E20"/>
    </sheetView>
  </sheetViews>
  <sheetFormatPr defaultRowHeight="15" x14ac:dyDescent="0.25"/>
  <cols>
    <col min="1" max="1" width="24.7109375" customWidth="1"/>
    <col min="2" max="2" width="16.42578125" customWidth="1"/>
    <col min="3" max="3" width="20.140625" customWidth="1"/>
    <col min="4" max="4" width="25.28515625" customWidth="1"/>
    <col min="5" max="5" width="57.7109375" customWidth="1"/>
    <col min="6" max="6" width="107" customWidth="1"/>
  </cols>
  <sheetData>
    <row r="3" spans="1:6" x14ac:dyDescent="0.25">
      <c r="A3" s="2" t="s">
        <v>6</v>
      </c>
      <c r="B3" s="2" t="s">
        <v>30</v>
      </c>
      <c r="C3" s="2" t="s">
        <v>31</v>
      </c>
      <c r="D3" s="2" t="s">
        <v>32</v>
      </c>
      <c r="E3" s="3" t="s">
        <v>33</v>
      </c>
      <c r="F3" t="s">
        <v>34</v>
      </c>
    </row>
    <row r="4" spans="1:6" x14ac:dyDescent="0.25">
      <c r="A4" t="s">
        <v>35</v>
      </c>
      <c r="B4" t="s">
        <v>36</v>
      </c>
      <c r="C4" t="s">
        <v>37</v>
      </c>
      <c r="D4" t="s">
        <v>38</v>
      </c>
      <c r="E4" t="s">
        <v>39</v>
      </c>
    </row>
  </sheetData>
  <dataValidations count="1">
    <dataValidation type="list" allowBlank="1" showInputMessage="1" showErrorMessage="1" sqref="A4:A5" xr:uid="{00000000-0002-0000-0000-000000000000}">
      <formula1>StatusList</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D8"/>
  <sheetViews>
    <sheetView workbookViewId="0">
      <selection activeCell="D7" sqref="D7"/>
    </sheetView>
  </sheetViews>
  <sheetFormatPr defaultRowHeight="15" x14ac:dyDescent="0.25"/>
  <cols>
    <col min="2" max="2" width="26.42578125" customWidth="1"/>
    <col min="4" max="4" width="26.28515625" customWidth="1"/>
  </cols>
  <sheetData>
    <row r="3" spans="2:4" x14ac:dyDescent="0.25">
      <c r="B3" t="s">
        <v>40</v>
      </c>
      <c r="D3" t="s">
        <v>41</v>
      </c>
    </row>
    <row r="4" spans="2:4" x14ac:dyDescent="0.25">
      <c r="B4" t="s">
        <v>42</v>
      </c>
      <c r="D4" s="4" t="s">
        <v>43</v>
      </c>
    </row>
    <row r="5" spans="2:4" x14ac:dyDescent="0.25">
      <c r="B5" t="s">
        <v>44</v>
      </c>
      <c r="D5" s="5" t="s">
        <v>13</v>
      </c>
    </row>
    <row r="6" spans="2:4" x14ac:dyDescent="0.25">
      <c r="B6" t="s">
        <v>45</v>
      </c>
      <c r="D6" s="6" t="s">
        <v>46</v>
      </c>
    </row>
    <row r="7" spans="2:4" x14ac:dyDescent="0.25">
      <c r="B7" t="s">
        <v>35</v>
      </c>
      <c r="D7" s="7" t="s">
        <v>47</v>
      </c>
    </row>
    <row r="8" spans="2:4" x14ac:dyDescent="0.25">
      <c r="D8" s="8" t="s">
        <v>48</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20"/>
  <sheetViews>
    <sheetView workbookViewId="0">
      <selection activeCell="D14" sqref="D14"/>
    </sheetView>
  </sheetViews>
  <sheetFormatPr defaultRowHeight="15" x14ac:dyDescent="0.25"/>
  <cols>
    <col min="1" max="1" width="14" style="1" customWidth="1"/>
    <col min="2" max="2" width="12" style="1" customWidth="1"/>
    <col min="3" max="3" width="22" style="1" customWidth="1"/>
    <col min="4" max="4" width="92.85546875" style="1" customWidth="1"/>
    <col min="5" max="5" width="25" customWidth="1"/>
    <col min="6" max="6" width="16" customWidth="1"/>
    <col min="7" max="7" width="128.85546875" customWidth="1"/>
  </cols>
  <sheetData>
    <row r="1" spans="1:6" ht="26.1" customHeight="1" x14ac:dyDescent="0.35">
      <c r="A1" s="14" t="s">
        <v>49</v>
      </c>
    </row>
    <row r="2" spans="1:6" x14ac:dyDescent="0.25">
      <c r="A2" s="15" t="s">
        <v>50</v>
      </c>
      <c r="B2" s="16">
        <f>COUNTA(ToC_Table[Test Case ID])</f>
        <v>14</v>
      </c>
      <c r="C2" s="15" t="s">
        <v>51</v>
      </c>
      <c r="D2" s="17">
        <f ca="1">AVERAGE(ToC_Table[Status])</f>
        <v>0.97619047619047616</v>
      </c>
      <c r="E2" s="15" t="s">
        <v>52</v>
      </c>
      <c r="F2" s="18">
        <f ca="1">TODAY()</f>
        <v>46219</v>
      </c>
    </row>
    <row r="6" spans="1:6" ht="30" customHeight="1" x14ac:dyDescent="0.25">
      <c r="A6" s="19" t="s">
        <v>53</v>
      </c>
      <c r="B6" s="19" t="s">
        <v>6</v>
      </c>
      <c r="C6" s="19" t="s">
        <v>54</v>
      </c>
      <c r="D6" s="19" t="s">
        <v>55</v>
      </c>
      <c r="E6" s="19" t="s">
        <v>56</v>
      </c>
      <c r="F6" s="19" t="s">
        <v>57</v>
      </c>
    </row>
    <row r="7" spans="1:6" ht="21.95" customHeight="1" x14ac:dyDescent="0.25">
      <c r="A7" s="20" t="s">
        <v>58</v>
      </c>
      <c r="B7" s="21">
        <f ca="1">COUNTIF(INDIRECT(ToC_Table[[#This Row],[Test Case ID]] &amp; "_Table[Status]"), "Success") / COUNTA(INDIRECT(ToC_Table[[#This Row],[Test Case ID]] &amp; "_Table[Status]"))</f>
        <v>1</v>
      </c>
      <c r="C7" s="22" t="s">
        <v>59</v>
      </c>
      <c r="D7" s="23" t="s">
        <v>60</v>
      </c>
      <c r="E7" s="22" t="s">
        <v>61</v>
      </c>
      <c r="F7" s="24"/>
    </row>
    <row r="8" spans="1:6" ht="21.95" customHeight="1" x14ac:dyDescent="0.25">
      <c r="A8" s="20" t="s">
        <v>62</v>
      </c>
      <c r="B8" s="21">
        <f ca="1">COUNTIF(INDIRECT(ToC_Table[[#This Row],[Test Case ID]] &amp; "_Table[Status]"), "Success") / COUNTA(INDIRECT(ToC_Table[[#This Row],[Test Case ID]] &amp; "_Table[Status]"))</f>
        <v>1</v>
      </c>
      <c r="C8" s="22" t="s">
        <v>59</v>
      </c>
      <c r="D8" s="23" t="s">
        <v>63</v>
      </c>
      <c r="E8" s="22" t="s">
        <v>61</v>
      </c>
      <c r="F8" s="24"/>
    </row>
    <row r="9" spans="1:6" ht="21.95" customHeight="1" x14ac:dyDescent="0.25">
      <c r="A9" s="20" t="s">
        <v>64</v>
      </c>
      <c r="B9" s="21">
        <f ca="1">COUNTIF(INDIRECT(ToC_Table[[#This Row],[Test Case ID]] &amp; "_Table[Status]"), "Success") / COUNTA(INDIRECT(ToC_Table[[#This Row],[Test Case ID]] &amp; "_Table[Status]"))</f>
        <v>1</v>
      </c>
      <c r="C9" s="22" t="s">
        <v>59</v>
      </c>
      <c r="D9" s="23" t="s">
        <v>65</v>
      </c>
      <c r="E9" s="22" t="s">
        <v>61</v>
      </c>
      <c r="F9" s="24"/>
    </row>
    <row r="10" spans="1:6" ht="21.95" customHeight="1" x14ac:dyDescent="0.25">
      <c r="A10" s="20" t="s">
        <v>66</v>
      </c>
      <c r="B10" s="21">
        <f ca="1">COUNTIF(INDIRECT(ToC_Table[[#This Row],[Test Case ID]] &amp; "_Table[Status]"), "Success") / COUNTA(INDIRECT(ToC_Table[[#This Row],[Test Case ID]] &amp; "_Table[Status]"))</f>
        <v>1</v>
      </c>
      <c r="C10" s="22" t="s">
        <v>59</v>
      </c>
      <c r="D10" s="23" t="s">
        <v>67</v>
      </c>
      <c r="E10" s="22" t="s">
        <v>61</v>
      </c>
      <c r="F10" s="24"/>
    </row>
    <row r="11" spans="1:6" ht="21.95" customHeight="1" x14ac:dyDescent="0.25">
      <c r="A11" s="20" t="s">
        <v>68</v>
      </c>
      <c r="B11" s="21">
        <f ca="1">COUNTIF(INDIRECT(ToC_Table[[#This Row],[Test Case ID]] &amp; "_Table[Status]"), "Success") / COUNTA(INDIRECT(ToC_Table[[#This Row],[Test Case ID]] &amp; "_Table[Status]"))</f>
        <v>1</v>
      </c>
      <c r="C11" s="22" t="s">
        <v>59</v>
      </c>
      <c r="D11" s="23" t="s">
        <v>69</v>
      </c>
      <c r="E11" s="22" t="s">
        <v>61</v>
      </c>
      <c r="F11" s="24"/>
    </row>
    <row r="12" spans="1:6" ht="21.95" customHeight="1" x14ac:dyDescent="0.25">
      <c r="A12" s="20" t="s">
        <v>70</v>
      </c>
      <c r="B12" s="21">
        <f ca="1">COUNTIF(INDIRECT(ToC_Table[[#This Row],[Test Case ID]] &amp; "_Table[Status]"), "Success") / COUNTA(INDIRECT(ToC_Table[[#This Row],[Test Case ID]] &amp; "_Table[Status]"))</f>
        <v>1</v>
      </c>
      <c r="C12" s="22" t="s">
        <v>59</v>
      </c>
      <c r="D12" s="23" t="s">
        <v>71</v>
      </c>
      <c r="E12" s="22" t="s">
        <v>61</v>
      </c>
      <c r="F12" s="24"/>
    </row>
    <row r="13" spans="1:6" ht="21.95" customHeight="1" x14ac:dyDescent="0.25">
      <c r="A13" s="20" t="s">
        <v>72</v>
      </c>
      <c r="B13" s="21">
        <f ca="1">COUNTIF(INDIRECT(ToC_Table[[#This Row],[Test Case ID]] &amp; "_Table[Status]"), "Success") / COUNTA(INDIRECT(ToC_Table[[#This Row],[Test Case ID]] &amp; "_Table[Status]"))</f>
        <v>1</v>
      </c>
      <c r="C13" s="22" t="s">
        <v>59</v>
      </c>
      <c r="D13" s="23" t="s">
        <v>73</v>
      </c>
      <c r="E13" s="22" t="s">
        <v>61</v>
      </c>
      <c r="F13" s="24"/>
    </row>
    <row r="14" spans="1:6" ht="21.95" customHeight="1" x14ac:dyDescent="0.25">
      <c r="A14" s="20" t="s">
        <v>74</v>
      </c>
      <c r="B14" s="21">
        <f ca="1">COUNTIF(INDIRECT(ToC_Table[[#This Row],[Test Case ID]] &amp; "_Table[Status]"), "Success") / COUNTA(INDIRECT(ToC_Table[[#This Row],[Test Case ID]] &amp; "_Table[Status]"))</f>
        <v>1</v>
      </c>
      <c r="C14" s="22" t="s">
        <v>59</v>
      </c>
      <c r="D14" s="23" t="s">
        <v>75</v>
      </c>
      <c r="E14" s="22" t="s">
        <v>61</v>
      </c>
      <c r="F14" s="24"/>
    </row>
    <row r="15" spans="1:6" ht="21.95" customHeight="1" x14ac:dyDescent="0.25">
      <c r="A15" s="20" t="s">
        <v>76</v>
      </c>
      <c r="B15" s="21">
        <f ca="1">COUNTIF(INDIRECT(ToC_Table[[#This Row],[Test Case ID]] &amp; "_Table[Status]"), "Success") / COUNTA(INDIRECT(ToC_Table[[#This Row],[Test Case ID]] &amp; "_Table[Status]"))</f>
        <v>1</v>
      </c>
      <c r="C15" s="22" t="s">
        <v>59</v>
      </c>
      <c r="D15" s="23" t="s">
        <v>77</v>
      </c>
      <c r="E15" s="22" t="s">
        <v>61</v>
      </c>
      <c r="F15" s="24"/>
    </row>
    <row r="16" spans="1:6" ht="21.95" customHeight="1" x14ac:dyDescent="0.25">
      <c r="A16" s="20" t="s">
        <v>78</v>
      </c>
      <c r="B16" s="21">
        <f ca="1">COUNTIF(INDIRECT(ToC_Table[[#This Row],[Test Case ID]] &amp; "_Table[Status]"), "Success") / COUNTA(INDIRECT(ToC_Table[[#This Row],[Test Case ID]] &amp; "_Table[Status]"))</f>
        <v>1</v>
      </c>
      <c r="C16" s="22" t="s">
        <v>59</v>
      </c>
      <c r="D16" s="23" t="s">
        <v>79</v>
      </c>
      <c r="E16" s="22" t="s">
        <v>61</v>
      </c>
      <c r="F16" s="24"/>
    </row>
    <row r="17" spans="1:6" ht="21.95" customHeight="1" x14ac:dyDescent="0.25">
      <c r="A17" s="20" t="s">
        <v>80</v>
      </c>
      <c r="B17" s="21">
        <f ca="1">COUNTIF(INDIRECT(ToC_Table[[#This Row],[Test Case ID]] &amp; "_Table[Status]"), "Success") / COUNTA(INDIRECT(ToC_Table[[#This Row],[Test Case ID]] &amp; "_Table[Status]"))</f>
        <v>1</v>
      </c>
      <c r="C17" s="22" t="s">
        <v>59</v>
      </c>
      <c r="D17" s="23" t="s">
        <v>81</v>
      </c>
      <c r="E17" s="22" t="s">
        <v>61</v>
      </c>
      <c r="F17" s="24"/>
    </row>
    <row r="18" spans="1:6" ht="21.95" customHeight="1" x14ac:dyDescent="0.25">
      <c r="A18" s="20" t="s">
        <v>82</v>
      </c>
      <c r="B18" s="21">
        <f ca="1">COUNTIF(INDIRECT(ToC_Table[[#This Row],[Test Case ID]] &amp; "_Table[Status]"), "Success") / COUNTA(INDIRECT(ToC_Table[[#This Row],[Test Case ID]] &amp; "_Table[Status]"))</f>
        <v>1</v>
      </c>
      <c r="C18" s="22" t="s">
        <v>59</v>
      </c>
      <c r="D18" s="23" t="s">
        <v>83</v>
      </c>
      <c r="E18" s="22" t="s">
        <v>84</v>
      </c>
      <c r="F18" s="24"/>
    </row>
    <row r="19" spans="1:6" ht="21.95" customHeight="1" x14ac:dyDescent="0.25">
      <c r="A19" s="20" t="s">
        <v>85</v>
      </c>
      <c r="B19" s="21">
        <f ca="1">COUNTIF(INDIRECT(ToC_Table[[#This Row],[Test Case ID]] &amp; "_Table[Status]"), "Success") / COUNTA(INDIRECT(ToC_Table[[#This Row],[Test Case ID]] &amp; "_Table[Status]"))</f>
        <v>1</v>
      </c>
      <c r="C19" s="22" t="s">
        <v>59</v>
      </c>
      <c r="D19" s="23" t="s">
        <v>86</v>
      </c>
      <c r="E19" s="22" t="s">
        <v>84</v>
      </c>
      <c r="F19" s="24"/>
    </row>
    <row r="20" spans="1:6" ht="21.95" customHeight="1" x14ac:dyDescent="0.25">
      <c r="A20" s="20" t="s">
        <v>87</v>
      </c>
      <c r="B20" s="21">
        <f ca="1">COUNTIF(INDIRECT(ToC_Table[[#This Row],[Test Case ID]] &amp; "_Table[Status]"), "Success") / COUNTA(INDIRECT(ToC_Table[[#This Row],[Test Case ID]] &amp; "_Table[Status]"))</f>
        <v>0.66666666666666663</v>
      </c>
      <c r="C20" s="22" t="s">
        <v>59</v>
      </c>
      <c r="D20" s="23" t="s">
        <v>88</v>
      </c>
      <c r="E20" s="22" t="s">
        <v>84</v>
      </c>
      <c r="F20" s="24"/>
    </row>
  </sheetData>
  <conditionalFormatting sqref="B7:B20">
    <cfRule type="cellIs" dxfId="74" priority="1" operator="greaterThanOrEqual">
      <formula>0.8</formula>
    </cfRule>
    <cfRule type="cellIs" dxfId="73" priority="2" operator="between">
      <formula>0.5</formula>
      <formula>0.7999</formula>
    </cfRule>
    <cfRule type="cellIs" dxfId="72" priority="3" operator="lessThan">
      <formula>0.5</formula>
    </cfRule>
  </conditionalFormatting>
  <dataValidations count="2">
    <dataValidation type="list" allowBlank="1" sqref="E7:E20" xr:uid="{00000000-0002-0000-0200-000000000000}">
      <formula1>"Master Configuration,Station Configuration,Station Control,Historical Viewer,Reporting,HTTP API,Background Jobs,Edge Cases &amp; Process"</formula1>
    </dataValidation>
    <dataValidation type="list" allowBlank="1" sqref="C7:C20" xr:uid="{00000000-0002-0000-0200-000001000000}">
      <formula1>"Cameron Metzgar,Ben Derk,Greg Schneider"</formula1>
    </dataValidation>
  </dataValidations>
  <pageMargins left="0.7" right="0.7" top="0.75" bottom="0.75" header="0.3" footer="0.3"/>
  <pageSetup orientation="portrait"/>
  <headerFooter>
    <oddHeader>&amp;C&amp;"Calibri"&amp;1 &amp;K000000Oshkosh Corporation Classification - Restricted#</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AddTestCase">
                <anchor moveWithCells="1" sizeWithCells="1">
                  <from>
                    <xdr:col>6</xdr:col>
                    <xdr:colOff>1323975</xdr:colOff>
                    <xdr:row>0</xdr:row>
                    <xdr:rowOff>228600</xdr:rowOff>
                  </from>
                  <to>
                    <xdr:col>6</xdr:col>
                    <xdr:colOff>5200650</xdr:colOff>
                    <xdr:row>3</xdr:row>
                    <xdr:rowOff>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12"/>
  <sheetViews>
    <sheetView zoomScale="90" zoomScaleNormal="90" workbookViewId="0">
      <selection activeCell="C21" sqref="C21:C22"/>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18" customHeight="1" x14ac:dyDescent="0.3">
      <c r="A1" s="11" t="str">
        <f t="array" aca="1" ref="A1" ca="1">IFERROR(_xlfn.CONCAT("Test Case Title: ", INDEX(ToC_Table[Test Case Title], MATCH(MID(CELL("filename", A1), FIND("]", CELL("filename", A1))+1, 255), ToC_Table[Test Case ID], 0))), "Test Case Title: (template)")</f>
        <v>Test Case Title: (template)</v>
      </c>
      <c r="B1" s="10"/>
    </row>
    <row r="2" spans="1:9" ht="18" customHeight="1" x14ac:dyDescent="0.3">
      <c r="A2" s="9" t="str">
        <f t="array" aca="1" ref="A2" ca="1">IFERROR(_xlfn.CONCAT("Developer: ", INDEX(ToC_Table[Developer], MATCH(MID(CELL("filename", A1), FIND("]", CELL("filename", A1))+1, 255), ToC_Table[Test Case ID], 0))), "Developer: (template)")</f>
        <v>Developer: (template)</v>
      </c>
    </row>
    <row r="3" spans="1:9"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(template)")</f>
        <v>Execution Date: (template)</v>
      </c>
    </row>
    <row r="4" spans="1:9" x14ac:dyDescent="0.25">
      <c r="A4" t="s">
        <v>0</v>
      </c>
    </row>
    <row r="6" spans="1:9" ht="21" customHeight="1" x14ac:dyDescent="0.35">
      <c r="A6" s="12" t="s">
        <v>1</v>
      </c>
    </row>
    <row r="7" spans="1:9" x14ac:dyDescent="0.25">
      <c r="A7" t="s">
        <v>89</v>
      </c>
    </row>
    <row r="8" spans="1:9" x14ac:dyDescent="0.25">
      <c r="A8" t="s">
        <v>90</v>
      </c>
    </row>
    <row r="10" spans="1:9" x14ac:dyDescent="0.25">
      <c r="A10" t="s">
        <v>4</v>
      </c>
      <c r="B10" t="s">
        <v>5</v>
      </c>
      <c r="C10" t="s">
        <v>6</v>
      </c>
      <c r="D10" t="s">
        <v>7</v>
      </c>
      <c r="E10" t="s">
        <v>8</v>
      </c>
      <c r="F10" t="s">
        <v>9</v>
      </c>
      <c r="G10" t="s">
        <v>10</v>
      </c>
      <c r="H10" t="s">
        <v>11</v>
      </c>
      <c r="I10" t="s">
        <v>12</v>
      </c>
    </row>
    <row r="11" spans="1:9" x14ac:dyDescent="0.25">
      <c r="A11" s="13"/>
      <c r="B11" s="13"/>
      <c r="C11" s="13" t="s">
        <v>13</v>
      </c>
      <c r="D11" s="13"/>
      <c r="E11" s="13"/>
      <c r="F11" s="13"/>
      <c r="G11" s="13"/>
      <c r="H11" s="13"/>
      <c r="I11" s="13"/>
    </row>
    <row r="12" spans="1:9" x14ac:dyDescent="0.25">
      <c r="A12" s="13">
        <v>1</v>
      </c>
      <c r="B12" s="13">
        <v>1</v>
      </c>
      <c r="C12" s="13" t="s">
        <v>13</v>
      </c>
      <c r="D12" s="13"/>
      <c r="E12" s="13"/>
      <c r="F12" s="13"/>
      <c r="G12" s="13"/>
      <c r="H12" s="13"/>
      <c r="I12" s="13"/>
    </row>
  </sheetData>
  <conditionalFormatting sqref="C1:C1000002">
    <cfRule type="containsText" dxfId="71" priority="1" operator="containsText" text="Failed">
      <formula>NOT(ISERROR(SEARCH("Failed",C1)))</formula>
    </cfRule>
    <cfRule type="cellIs" dxfId="70" priority="2" operator="equal">
      <formula>"Success"</formula>
    </cfRule>
  </conditionalFormatting>
  <dataValidations count="1">
    <dataValidation type="list" allowBlank="1" showInputMessage="1" showErrorMessage="1" sqref="C11:C12" xr:uid="{00000000-0002-0000-0300-000000000000}">
      <formula1>TestStepStatus</formula1>
    </dataValidation>
  </dataValidations>
  <pageMargins left="0.7" right="0.7" top="0.75" bottom="0.75" header="0.3" footer="0.3"/>
  <pageSetup orientation="landscape"/>
  <headerFooter>
    <oddHeader>&amp;C&amp;"Calibri"&amp;1 &amp;K000000Oshkosh Corporation Classification - Restricted#</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ddNextStepID">
                <anchor moveWithCells="1" sizeWithCells="1">
                  <from>
                    <xdr:col>2</xdr:col>
                    <xdr:colOff>9525</xdr:colOff>
                    <xdr:row>0</xdr:row>
                    <xdr:rowOff>276225</xdr:rowOff>
                  </from>
                  <to>
                    <xdr:col>3</xdr:col>
                    <xdr:colOff>1152525</xdr:colOff>
                    <xdr:row>2</xdr:row>
                    <xdr:rowOff>238125</xdr:rowOff>
                  </to>
                </anchor>
              </controlPr>
            </control>
          </mc:Choice>
        </mc:AlternateContent>
        <mc:AlternateContent xmlns:mc="http://schemas.openxmlformats.org/markup-compatibility/2006">
          <mc:Choice Requires="x14">
            <control shapeId="4099" r:id="rId4" name="Button 3">
              <controlPr defaultSize="0" print="0" autoFill="0" autoPict="0" macro="[0]!AddSubStepID">
                <anchor moveWithCells="1" sizeWithCells="1">
                  <from>
                    <xdr:col>3</xdr:col>
                    <xdr:colOff>3771900</xdr:colOff>
                    <xdr:row>1</xdr:row>
                    <xdr:rowOff>9525</xdr:rowOff>
                  </from>
                  <to>
                    <xdr:col>5</xdr:col>
                    <xdr:colOff>38100</xdr:colOff>
                    <xdr:row>2</xdr:row>
                    <xdr:rowOff>228600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I16"/>
  <sheetViews>
    <sheetView topLeftCell="A8" workbookViewId="0">
      <selection activeCell="C16" sqref="C16"/>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Station Rectification - Manual ComponentID Change at a Station</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65" customHeight="1" x14ac:dyDescent="0.25">
      <c r="A7" s="26" t="s">
        <v>91</v>
      </c>
    </row>
    <row r="8" spans="1:9" ht="63" customHeight="1" x14ac:dyDescent="0.25">
      <c r="A8" s="26" t="s">
        <v>92</v>
      </c>
    </row>
    <row r="10" spans="1:9" ht="36" customHeight="1" x14ac:dyDescent="0.25">
      <c r="A10" s="19" t="s">
        <v>4</v>
      </c>
      <c r="B10" s="19" t="s">
        <v>5</v>
      </c>
      <c r="C10" s="19" t="s">
        <v>6</v>
      </c>
      <c r="D10" s="19" t="s">
        <v>7</v>
      </c>
      <c r="E10" s="19" t="s">
        <v>8</v>
      </c>
      <c r="F10" s="19" t="s">
        <v>9</v>
      </c>
      <c r="G10" s="19" t="s">
        <v>10</v>
      </c>
      <c r="H10" s="19" t="s">
        <v>11</v>
      </c>
      <c r="I10" s="19" t="s">
        <v>12</v>
      </c>
    </row>
    <row r="11" spans="1:9" ht="114" customHeight="1" x14ac:dyDescent="0.25">
      <c r="A11" s="27">
        <v>1</v>
      </c>
      <c r="B11" s="28">
        <v>1</v>
      </c>
      <c r="C11" s="27" t="s">
        <v>43</v>
      </c>
      <c r="D11" s="28" t="s">
        <v>93</v>
      </c>
      <c r="E11" s="28" t="s">
        <v>94</v>
      </c>
      <c r="F11" s="28" t="s">
        <v>95</v>
      </c>
      <c r="G11" s="28"/>
      <c r="H11" s="28" t="s">
        <v>96</v>
      </c>
      <c r="I11" s="28"/>
    </row>
    <row r="12" spans="1:9" ht="63" customHeight="1" x14ac:dyDescent="0.25">
      <c r="A12" s="27">
        <v>2</v>
      </c>
      <c r="B12" s="28">
        <v>1</v>
      </c>
      <c r="C12" s="27" t="s">
        <v>43</v>
      </c>
      <c r="D12" s="28" t="s">
        <v>97</v>
      </c>
      <c r="E12" s="28" t="s">
        <v>98</v>
      </c>
      <c r="F12" s="28" t="s">
        <v>99</v>
      </c>
      <c r="G12" s="28"/>
      <c r="H12" s="28"/>
      <c r="I12" s="28"/>
    </row>
    <row r="13" spans="1:9" ht="96.95" customHeight="1" x14ac:dyDescent="0.25">
      <c r="A13" s="27">
        <v>3</v>
      </c>
      <c r="B13" s="28">
        <v>1</v>
      </c>
      <c r="C13" s="27" t="s">
        <v>43</v>
      </c>
      <c r="D13" s="28" t="s">
        <v>100</v>
      </c>
      <c r="E13" s="28" t="s">
        <v>101</v>
      </c>
      <c r="F13" s="28" t="s">
        <v>102</v>
      </c>
      <c r="G13" s="28"/>
      <c r="H13" s="28"/>
      <c r="I13" s="28"/>
    </row>
    <row r="14" spans="1:9" ht="80.099999999999994" customHeight="1" x14ac:dyDescent="0.25">
      <c r="A14" s="27">
        <v>4</v>
      </c>
      <c r="B14" s="28">
        <v>1</v>
      </c>
      <c r="C14" s="27" t="s">
        <v>43</v>
      </c>
      <c r="D14" s="28" t="s">
        <v>103</v>
      </c>
      <c r="E14" s="28" t="s">
        <v>104</v>
      </c>
      <c r="F14" s="28" t="s">
        <v>105</v>
      </c>
      <c r="G14" s="28"/>
      <c r="H14" s="28" t="s">
        <v>106</v>
      </c>
      <c r="I14" s="28"/>
    </row>
    <row r="15" spans="1:9" ht="182.1" customHeight="1" x14ac:dyDescent="0.25">
      <c r="A15" s="27">
        <v>5</v>
      </c>
      <c r="B15" s="28">
        <v>1</v>
      </c>
      <c r="C15" s="27" t="s">
        <v>43</v>
      </c>
      <c r="D15" s="28" t="s">
        <v>107</v>
      </c>
      <c r="E15" s="28" t="s">
        <v>108</v>
      </c>
      <c r="F15" s="28"/>
      <c r="G15" s="28"/>
      <c r="H15" s="28"/>
      <c r="I15" s="28" t="s">
        <v>109</v>
      </c>
    </row>
    <row r="16" spans="1:9" ht="96.95" customHeight="1" x14ac:dyDescent="0.25">
      <c r="A16" s="27">
        <v>6</v>
      </c>
      <c r="B16" s="28">
        <v>1</v>
      </c>
      <c r="C16" s="27" t="s">
        <v>43</v>
      </c>
      <c r="D16" s="28" t="s">
        <v>110</v>
      </c>
      <c r="E16" s="28" t="s">
        <v>111</v>
      </c>
      <c r="F16" s="28" t="s">
        <v>112</v>
      </c>
      <c r="G16" s="28"/>
      <c r="H16" s="28"/>
      <c r="I16" s="28" t="s">
        <v>113</v>
      </c>
    </row>
  </sheetData>
  <conditionalFormatting sqref="C11:C16">
    <cfRule type="cellIs" dxfId="69" priority="1" operator="equal">
      <formula>"Success"</formula>
    </cfRule>
    <cfRule type="cellIs" dxfId="68" priority="2" operator="equal">
      <formula>"Not Tested"</formula>
    </cfRule>
    <cfRule type="cellIs" dxfId="67" priority="3" operator="equal">
      <formula>"Failed: UX"</formula>
    </cfRule>
    <cfRule type="cellIs" dxfId="66" priority="4" operator="equal">
      <formula>"Failed: MES/SCADA"</formula>
    </cfRule>
    <cfRule type="cellIs" dxfId="65" priority="5" operator="equal">
      <formula>"Failed: DB"</formula>
    </cfRule>
  </conditionalFormatting>
  <dataValidations count="1">
    <dataValidation type="list" showErrorMessage="1" errorTitle="Invalid Status" error="Select one of: Success, Not Tested, Failed: UX, Failed: MES/SCADA, Failed: DB" sqref="C11:C16" xr:uid="{00000000-0002-0000-0400-000000000000}">
      <formula1>TestStepStatus</formula1>
    </dataValidation>
  </dataValidations>
  <pageMargins left="0.7" right="0.7" top="0.75" bottom="0.75" header="0.3" footer="0.3"/>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I14"/>
  <sheetViews>
    <sheetView topLeftCell="A8" workbookViewId="0">
      <selection activeCell="D19" sqref="D19"/>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Station Rectification - Refresh Next Work Order</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63" customHeight="1" x14ac:dyDescent="0.25">
      <c r="A7" s="26" t="s">
        <v>114</v>
      </c>
    </row>
    <row r="8" spans="1:9" ht="80.099999999999994" customHeight="1" x14ac:dyDescent="0.25">
      <c r="A8" s="26" t="s">
        <v>115</v>
      </c>
    </row>
    <row r="10" spans="1:9" ht="36" customHeight="1" x14ac:dyDescent="0.25">
      <c r="A10" s="19" t="s">
        <v>4</v>
      </c>
      <c r="B10" s="19" t="s">
        <v>5</v>
      </c>
      <c r="C10" s="19" t="s">
        <v>6</v>
      </c>
      <c r="D10" s="19" t="s">
        <v>7</v>
      </c>
      <c r="E10" s="19" t="s">
        <v>8</v>
      </c>
      <c r="F10" s="19" t="s">
        <v>9</v>
      </c>
      <c r="G10" s="19" t="s">
        <v>10</v>
      </c>
      <c r="H10" s="19" t="s">
        <v>11</v>
      </c>
      <c r="I10" s="19" t="s">
        <v>12</v>
      </c>
    </row>
    <row r="11" spans="1:9" ht="63" customHeight="1" x14ac:dyDescent="0.25">
      <c r="A11" s="27">
        <v>1</v>
      </c>
      <c r="B11" s="28">
        <v>1</v>
      </c>
      <c r="C11" s="27" t="s">
        <v>43</v>
      </c>
      <c r="D11" s="28" t="s">
        <v>116</v>
      </c>
      <c r="E11" s="28" t="s">
        <v>117</v>
      </c>
      <c r="F11" s="28" t="s">
        <v>118</v>
      </c>
      <c r="G11" s="28"/>
      <c r="H11" s="28"/>
      <c r="I11" s="28"/>
    </row>
    <row r="12" spans="1:9" ht="63" customHeight="1" x14ac:dyDescent="0.25">
      <c r="A12" s="27">
        <v>2</v>
      </c>
      <c r="B12" s="28">
        <v>1</v>
      </c>
      <c r="C12" s="27" t="s">
        <v>43</v>
      </c>
      <c r="D12" s="28" t="s">
        <v>119</v>
      </c>
      <c r="E12" s="28" t="s">
        <v>120</v>
      </c>
      <c r="F12" s="28"/>
      <c r="G12" s="28"/>
      <c r="H12" s="28" t="s">
        <v>121</v>
      </c>
      <c r="I12" s="28"/>
    </row>
    <row r="13" spans="1:9" ht="147.94999999999999" customHeight="1" x14ac:dyDescent="0.25">
      <c r="A13" s="27">
        <v>3</v>
      </c>
      <c r="B13" s="28">
        <v>1</v>
      </c>
      <c r="C13" s="27" t="s">
        <v>43</v>
      </c>
      <c r="D13" s="28" t="s">
        <v>122</v>
      </c>
      <c r="E13" s="28" t="s">
        <v>123</v>
      </c>
      <c r="F13" s="28"/>
      <c r="G13" s="28"/>
      <c r="H13" s="28"/>
      <c r="I13" s="28" t="s">
        <v>124</v>
      </c>
    </row>
    <row r="14" spans="1:9" ht="63" customHeight="1" x14ac:dyDescent="0.25">
      <c r="A14" s="27">
        <v>4</v>
      </c>
      <c r="B14" s="28">
        <v>1</v>
      </c>
      <c r="C14" s="27" t="s">
        <v>43</v>
      </c>
      <c r="D14" s="28" t="s">
        <v>125</v>
      </c>
      <c r="E14" s="28" t="s">
        <v>126</v>
      </c>
      <c r="F14" s="28" t="s">
        <v>127</v>
      </c>
      <c r="G14" s="28"/>
      <c r="H14" s="28"/>
      <c r="I14" s="28"/>
    </row>
  </sheetData>
  <conditionalFormatting sqref="C11:C14">
    <cfRule type="cellIs" dxfId="64" priority="1" operator="equal">
      <formula>"Success"</formula>
    </cfRule>
    <cfRule type="cellIs" dxfId="63" priority="2" operator="equal">
      <formula>"Not Tested"</formula>
    </cfRule>
    <cfRule type="cellIs" dxfId="62" priority="3" operator="equal">
      <formula>"Failed: UX"</formula>
    </cfRule>
    <cfRule type="cellIs" dxfId="61" priority="4" operator="equal">
      <formula>"Failed: MES/SCADA"</formula>
    </cfRule>
    <cfRule type="cellIs" dxfId="60" priority="5" operator="equal">
      <formula>"Failed: DB"</formula>
    </cfRule>
  </conditionalFormatting>
  <dataValidations count="1">
    <dataValidation type="list" showErrorMessage="1" errorTitle="Invalid Status" error="Select one of: Success, Not Tested, Failed: UX, Failed: MES/SCADA, Failed: DB" sqref="C11:C14" xr:uid="{00000000-0002-0000-0500-000000000000}">
      <formula1>TestStepStatus</formula1>
    </dataValidation>
  </dataValidations>
  <pageMargins left="0.7" right="0.7" top="0.75" bottom="0.75" header="0.3" footer="0.3"/>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I13"/>
  <sheetViews>
    <sheetView topLeftCell="A7" workbookViewId="0">
      <selection activeCell="C13" sqref="C13"/>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AMR Rectification - Tab Access and Fleet List</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80.099999999999994" customHeight="1" x14ac:dyDescent="0.25">
      <c r="A7" s="26" t="s">
        <v>128</v>
      </c>
    </row>
    <row r="8" spans="1:9" ht="96.95" customHeight="1" x14ac:dyDescent="0.25">
      <c r="A8" s="26" t="s">
        <v>129</v>
      </c>
    </row>
    <row r="10" spans="1:9" ht="36" customHeight="1" x14ac:dyDescent="0.25">
      <c r="A10" s="19" t="s">
        <v>4</v>
      </c>
      <c r="B10" s="19" t="s">
        <v>5</v>
      </c>
      <c r="C10" s="19" t="s">
        <v>6</v>
      </c>
      <c r="D10" s="19" t="s">
        <v>7</v>
      </c>
      <c r="E10" s="19" t="s">
        <v>8</v>
      </c>
      <c r="F10" s="19" t="s">
        <v>9</v>
      </c>
      <c r="G10" s="19" t="s">
        <v>10</v>
      </c>
      <c r="H10" s="19" t="s">
        <v>11</v>
      </c>
      <c r="I10" s="19" t="s">
        <v>12</v>
      </c>
    </row>
    <row r="11" spans="1:9" ht="80.099999999999994" customHeight="1" x14ac:dyDescent="0.25">
      <c r="A11" s="27">
        <v>1</v>
      </c>
      <c r="B11" s="28">
        <v>1</v>
      </c>
      <c r="C11" s="27" t="s">
        <v>43</v>
      </c>
      <c r="D11" s="28" t="s">
        <v>130</v>
      </c>
      <c r="E11" s="28" t="s">
        <v>131</v>
      </c>
      <c r="F11" s="28" t="s">
        <v>132</v>
      </c>
      <c r="G11" s="28"/>
      <c r="H11" s="28"/>
      <c r="I11" s="28"/>
    </row>
    <row r="12" spans="1:9" ht="63" customHeight="1" x14ac:dyDescent="0.25">
      <c r="A12" s="27">
        <v>2</v>
      </c>
      <c r="B12" s="28">
        <v>1</v>
      </c>
      <c r="C12" s="27" t="s">
        <v>43</v>
      </c>
      <c r="D12" s="28" t="s">
        <v>133</v>
      </c>
      <c r="E12" s="28" t="s">
        <v>134</v>
      </c>
      <c r="F12" s="28"/>
      <c r="G12" s="28"/>
      <c r="H12" s="28" t="s">
        <v>135</v>
      </c>
      <c r="I12" s="28"/>
    </row>
    <row r="13" spans="1:9" ht="80.099999999999994" customHeight="1" x14ac:dyDescent="0.25">
      <c r="A13" s="27">
        <v>3</v>
      </c>
      <c r="B13" s="28">
        <v>1</v>
      </c>
      <c r="C13" s="27" t="s">
        <v>43</v>
      </c>
      <c r="D13" s="28" t="s">
        <v>136</v>
      </c>
      <c r="E13" s="28" t="s">
        <v>137</v>
      </c>
      <c r="F13" s="28" t="s">
        <v>138</v>
      </c>
      <c r="G13" s="28"/>
      <c r="H13" s="28"/>
      <c r="I13" s="28"/>
    </row>
  </sheetData>
  <conditionalFormatting sqref="C11:C13">
    <cfRule type="cellIs" dxfId="59" priority="1" operator="equal">
      <formula>"Success"</formula>
    </cfRule>
    <cfRule type="cellIs" dxfId="58" priority="2" operator="equal">
      <formula>"Not Tested"</formula>
    </cfRule>
    <cfRule type="cellIs" dxfId="57" priority="3" operator="equal">
      <formula>"Failed: UX"</formula>
    </cfRule>
    <cfRule type="cellIs" dxfId="56" priority="4" operator="equal">
      <formula>"Failed: MES/SCADA"</formula>
    </cfRule>
    <cfRule type="cellIs" dxfId="55" priority="5" operator="equal">
      <formula>"Failed: DB"</formula>
    </cfRule>
  </conditionalFormatting>
  <dataValidations count="1">
    <dataValidation type="list" showErrorMessage="1" errorTitle="Invalid Status" error="Select one of: Success, Not Tested, Failed: UX, Failed: MES/SCADA, Failed: DB" sqref="C11:C13" xr:uid="{00000000-0002-0000-0600-000000000000}">
      <formula1>TestStepStatus</formula1>
    </dataValidation>
  </dataValidations>
  <pageMargins left="0.7" right="0.7" top="0.75" bottom="0.75" header="0.3" footer="0.3"/>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I15"/>
  <sheetViews>
    <sheetView topLeftCell="A9" workbookViewId="0">
      <selection activeCell="D14" sqref="D14"/>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AMR Rectification - ComponentID and ComponentID 2 Change With Auto Payload Refresh</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96.95" customHeight="1" x14ac:dyDescent="0.25">
      <c r="A7" s="26" t="s">
        <v>139</v>
      </c>
    </row>
    <row r="8" spans="1:9" ht="96.95" customHeight="1" x14ac:dyDescent="0.25">
      <c r="A8" s="26" t="s">
        <v>140</v>
      </c>
    </row>
    <row r="10" spans="1:9" ht="36" customHeight="1" x14ac:dyDescent="0.25">
      <c r="A10" s="19" t="s">
        <v>4</v>
      </c>
      <c r="B10" s="19" t="s">
        <v>5</v>
      </c>
      <c r="C10" s="19" t="s">
        <v>6</v>
      </c>
      <c r="D10" s="19" t="s">
        <v>7</v>
      </c>
      <c r="E10" s="19" t="s">
        <v>8</v>
      </c>
      <c r="F10" s="19" t="s">
        <v>9</v>
      </c>
      <c r="G10" s="19" t="s">
        <v>10</v>
      </c>
      <c r="H10" s="19" t="s">
        <v>11</v>
      </c>
      <c r="I10" s="19" t="s">
        <v>12</v>
      </c>
    </row>
    <row r="11" spans="1:9" ht="80.099999999999994" customHeight="1" x14ac:dyDescent="0.25">
      <c r="A11" s="27">
        <v>1</v>
      </c>
      <c r="B11" s="28">
        <v>1</v>
      </c>
      <c r="C11" s="27" t="s">
        <v>43</v>
      </c>
      <c r="D11" s="28" t="s">
        <v>141</v>
      </c>
      <c r="E11" s="28" t="s">
        <v>142</v>
      </c>
      <c r="F11" s="28" t="s">
        <v>143</v>
      </c>
      <c r="G11" s="28"/>
      <c r="H11" s="28"/>
      <c r="I11" s="28"/>
    </row>
    <row r="12" spans="1:9" ht="63" customHeight="1" x14ac:dyDescent="0.25">
      <c r="A12" s="27">
        <v>2</v>
      </c>
      <c r="B12" s="28">
        <v>1</v>
      </c>
      <c r="C12" s="27" t="s">
        <v>43</v>
      </c>
      <c r="D12" s="28" t="s">
        <v>144</v>
      </c>
      <c r="E12" s="28" t="s">
        <v>145</v>
      </c>
      <c r="F12" s="28" t="s">
        <v>146</v>
      </c>
      <c r="G12" s="28"/>
      <c r="H12" s="28" t="s">
        <v>147</v>
      </c>
      <c r="I12" s="28"/>
    </row>
    <row r="13" spans="1:9" ht="63" customHeight="1" x14ac:dyDescent="0.25">
      <c r="A13" s="27">
        <v>3</v>
      </c>
      <c r="B13" s="28">
        <v>1</v>
      </c>
      <c r="C13" s="27" t="s">
        <v>43</v>
      </c>
      <c r="D13" s="28" t="s">
        <v>148</v>
      </c>
      <c r="E13" s="28" t="s">
        <v>149</v>
      </c>
      <c r="F13" s="28" t="s">
        <v>150</v>
      </c>
      <c r="G13" s="28"/>
      <c r="H13" s="28"/>
      <c r="I13" s="28"/>
    </row>
    <row r="14" spans="1:9" ht="165" customHeight="1" x14ac:dyDescent="0.25">
      <c r="A14" s="27">
        <v>4</v>
      </c>
      <c r="B14" s="28">
        <v>1</v>
      </c>
      <c r="C14" s="27" t="s">
        <v>43</v>
      </c>
      <c r="D14" s="28" t="s">
        <v>151</v>
      </c>
      <c r="E14" s="28" t="s">
        <v>152</v>
      </c>
      <c r="F14" s="28"/>
      <c r="G14" s="28"/>
      <c r="H14" s="28"/>
      <c r="I14" s="28" t="s">
        <v>153</v>
      </c>
    </row>
    <row r="15" spans="1:9" ht="131.1" customHeight="1" x14ac:dyDescent="0.25">
      <c r="A15" s="27">
        <v>5</v>
      </c>
      <c r="B15" s="28">
        <v>1</v>
      </c>
      <c r="C15" s="27" t="s">
        <v>43</v>
      </c>
      <c r="D15" s="28" t="s">
        <v>154</v>
      </c>
      <c r="E15" s="28" t="s">
        <v>155</v>
      </c>
      <c r="F15" s="28" t="s">
        <v>156</v>
      </c>
      <c r="G15" s="28"/>
      <c r="H15" s="28"/>
      <c r="I15" s="28"/>
    </row>
  </sheetData>
  <conditionalFormatting sqref="C11:C15">
    <cfRule type="cellIs" dxfId="54" priority="1" operator="equal">
      <formula>"Success"</formula>
    </cfRule>
    <cfRule type="cellIs" dxfId="53" priority="2" operator="equal">
      <formula>"Not Tested"</formula>
    </cfRule>
    <cfRule type="cellIs" dxfId="52" priority="3" operator="equal">
      <formula>"Failed: UX"</formula>
    </cfRule>
    <cfRule type="cellIs" dxfId="51" priority="4" operator="equal">
      <formula>"Failed: MES/SCADA"</formula>
    </cfRule>
    <cfRule type="cellIs" dxfId="50" priority="5" operator="equal">
      <formula>"Failed: DB"</formula>
    </cfRule>
  </conditionalFormatting>
  <dataValidations count="1">
    <dataValidation type="list" showErrorMessage="1" errorTitle="Invalid Status" error="Select one of: Success, Not Tested, Failed: UX, Failed: MES/SCADA, Failed: DB" sqref="C11:C15" xr:uid="{00000000-0002-0000-0700-000000000000}">
      <formula1>TestStepStatus</formula1>
    </dataValidation>
  </dataValidations>
  <pageMargins left="0.7" right="0.7" top="0.75" bottom="0.75" header="0.3" footer="0.3"/>
  <pageSetup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I13"/>
  <sheetViews>
    <sheetView topLeftCell="A7" workbookViewId="0">
      <selection activeCell="D12" sqref="D12"/>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Manual Assembly Scheduling - Serial Validation Rejects Duplicates and Unknown Machines</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82.1" customHeight="1" x14ac:dyDescent="0.25">
      <c r="A7" s="26" t="s">
        <v>157</v>
      </c>
    </row>
    <row r="8" spans="1:9" ht="63" customHeight="1" x14ac:dyDescent="0.25">
      <c r="A8" s="26" t="s">
        <v>92</v>
      </c>
    </row>
    <row r="10" spans="1:9" ht="36" customHeight="1" x14ac:dyDescent="0.25">
      <c r="A10" s="19" t="s">
        <v>4</v>
      </c>
      <c r="B10" s="19" t="s">
        <v>5</v>
      </c>
      <c r="C10" s="19" t="s">
        <v>6</v>
      </c>
      <c r="D10" s="19" t="s">
        <v>7</v>
      </c>
      <c r="E10" s="19" t="s">
        <v>8</v>
      </c>
      <c r="F10" s="19" t="s">
        <v>9</v>
      </c>
      <c r="G10" s="19" t="s">
        <v>10</v>
      </c>
      <c r="H10" s="19" t="s">
        <v>11</v>
      </c>
      <c r="I10" s="19" t="s">
        <v>12</v>
      </c>
    </row>
    <row r="11" spans="1:9" ht="63" customHeight="1" x14ac:dyDescent="0.25">
      <c r="A11" s="27">
        <v>1</v>
      </c>
      <c r="B11" s="28">
        <v>1</v>
      </c>
      <c r="C11" s="27" t="s">
        <v>43</v>
      </c>
      <c r="D11" s="28" t="s">
        <v>158</v>
      </c>
      <c r="E11" s="28" t="s">
        <v>159</v>
      </c>
      <c r="F11" s="28" t="s">
        <v>160</v>
      </c>
      <c r="G11" s="28"/>
      <c r="H11" s="28"/>
      <c r="I11" s="28"/>
    </row>
    <row r="12" spans="1:9" ht="63" customHeight="1" x14ac:dyDescent="0.25">
      <c r="A12" s="27">
        <v>2</v>
      </c>
      <c r="B12" s="28">
        <v>1</v>
      </c>
      <c r="C12" s="27" t="s">
        <v>43</v>
      </c>
      <c r="D12" s="28" t="s">
        <v>161</v>
      </c>
      <c r="E12" s="28" t="s">
        <v>162</v>
      </c>
      <c r="F12" s="28" t="s">
        <v>163</v>
      </c>
      <c r="G12" s="28"/>
      <c r="H12" s="28"/>
      <c r="I12" s="28"/>
    </row>
    <row r="13" spans="1:9" ht="63" customHeight="1" x14ac:dyDescent="0.25">
      <c r="A13" s="27">
        <v>3</v>
      </c>
      <c r="B13" s="28">
        <v>1</v>
      </c>
      <c r="C13" s="27" t="s">
        <v>43</v>
      </c>
      <c r="D13" s="28" t="s">
        <v>164</v>
      </c>
      <c r="E13" s="28" t="s">
        <v>165</v>
      </c>
      <c r="F13" s="28" t="s">
        <v>166</v>
      </c>
      <c r="G13" s="28"/>
      <c r="H13" s="28"/>
      <c r="I13" s="28"/>
    </row>
  </sheetData>
  <conditionalFormatting sqref="C11:C13">
    <cfRule type="cellIs" dxfId="49" priority="1" operator="equal">
      <formula>"Success"</formula>
    </cfRule>
    <cfRule type="cellIs" dxfId="48" priority="2" operator="equal">
      <formula>"Not Tested"</formula>
    </cfRule>
    <cfRule type="cellIs" dxfId="47" priority="3" operator="equal">
      <formula>"Failed: UX"</formula>
    </cfRule>
    <cfRule type="cellIs" dxfId="46" priority="4" operator="equal">
      <formula>"Failed: MES/SCADA"</formula>
    </cfRule>
    <cfRule type="cellIs" dxfId="45" priority="5" operator="equal">
      <formula>"Failed: DB"</formula>
    </cfRule>
  </conditionalFormatting>
  <dataValidations count="1">
    <dataValidation type="list" showErrorMessage="1" errorTitle="Invalid Status" error="Select one of: Success, Not Tested, Failed: UX, Failed: MES/SCADA, Failed: DB" sqref="C11:C13" xr:uid="{00000000-0002-0000-0800-000000000000}">
      <formula1>TestStepStatus</formula1>
    </dataValidation>
  </dataValidations>
  <pageMargins left="0.7" right="0.7" top="0.75" bottom="0.75" header="0.3" footer="0.3"/>
  <pageSetup orientation="landscape"/>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I15"/>
  <sheetViews>
    <sheetView topLeftCell="A12" workbookViewId="0">
      <selection activeCell="D15" sqref="D15"/>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Manual Assembly Scheduling - Single and Batch Serial Scheduling</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47.94999999999999" customHeight="1" x14ac:dyDescent="0.25">
      <c r="A7" s="26" t="s">
        <v>167</v>
      </c>
    </row>
    <row r="8" spans="1:9" ht="63" customHeight="1" x14ac:dyDescent="0.25">
      <c r="A8" s="26" t="s">
        <v>92</v>
      </c>
    </row>
    <row r="10" spans="1:9" ht="36" customHeight="1" x14ac:dyDescent="0.25">
      <c r="A10" s="19" t="s">
        <v>4</v>
      </c>
      <c r="B10" s="19" t="s">
        <v>5</v>
      </c>
      <c r="C10" s="19" t="s">
        <v>6</v>
      </c>
      <c r="D10" s="19" t="s">
        <v>7</v>
      </c>
      <c r="E10" s="19" t="s">
        <v>8</v>
      </c>
      <c r="F10" s="19" t="s">
        <v>9</v>
      </c>
      <c r="G10" s="19" t="s">
        <v>10</v>
      </c>
      <c r="H10" s="19" t="s">
        <v>11</v>
      </c>
      <c r="I10" s="19" t="s">
        <v>12</v>
      </c>
    </row>
    <row r="11" spans="1:9" ht="63" customHeight="1" x14ac:dyDescent="0.25">
      <c r="A11" s="27">
        <v>1</v>
      </c>
      <c r="B11" s="28">
        <v>1</v>
      </c>
      <c r="C11" s="27" t="s">
        <v>43</v>
      </c>
      <c r="D11" s="28" t="s">
        <v>168</v>
      </c>
      <c r="E11" s="28" t="s">
        <v>169</v>
      </c>
      <c r="F11" s="28" t="s">
        <v>170</v>
      </c>
      <c r="G11" s="28"/>
      <c r="H11" s="28"/>
      <c r="I11" s="28"/>
    </row>
    <row r="12" spans="1:9" ht="165" customHeight="1" x14ac:dyDescent="0.25">
      <c r="A12" s="27">
        <v>2</v>
      </c>
      <c r="B12" s="28">
        <v>1</v>
      </c>
      <c r="C12" s="27" t="s">
        <v>43</v>
      </c>
      <c r="D12" s="28" t="s">
        <v>171</v>
      </c>
      <c r="E12" s="28" t="s">
        <v>172</v>
      </c>
      <c r="F12" s="28"/>
      <c r="G12" s="28"/>
      <c r="H12" s="28"/>
      <c r="I12" s="28" t="s">
        <v>173</v>
      </c>
    </row>
    <row r="13" spans="1:9" ht="80.099999999999994" customHeight="1" x14ac:dyDescent="0.25">
      <c r="A13" s="27">
        <v>3</v>
      </c>
      <c r="B13" s="28">
        <v>1</v>
      </c>
      <c r="C13" s="27" t="s">
        <v>43</v>
      </c>
      <c r="D13" s="28" t="s">
        <v>174</v>
      </c>
      <c r="E13" s="28" t="s">
        <v>175</v>
      </c>
      <c r="F13" s="28" t="s">
        <v>176</v>
      </c>
      <c r="G13" s="28"/>
      <c r="H13" s="28"/>
      <c r="I13" s="28"/>
    </row>
    <row r="14" spans="1:9" ht="80.099999999999994" customHeight="1" x14ac:dyDescent="0.25">
      <c r="A14" s="27">
        <v>4</v>
      </c>
      <c r="B14" s="28">
        <v>1</v>
      </c>
      <c r="C14" s="27" t="s">
        <v>43</v>
      </c>
      <c r="D14" s="28" t="s">
        <v>177</v>
      </c>
      <c r="E14" s="28" t="s">
        <v>178</v>
      </c>
      <c r="F14" s="28" t="s">
        <v>179</v>
      </c>
      <c r="G14" s="28"/>
      <c r="H14" s="28"/>
      <c r="I14" s="28"/>
    </row>
    <row r="15" spans="1:9" ht="165" customHeight="1" x14ac:dyDescent="0.25">
      <c r="A15" s="27">
        <v>5</v>
      </c>
      <c r="B15" s="28">
        <v>1</v>
      </c>
      <c r="C15" s="27" t="s">
        <v>43</v>
      </c>
      <c r="D15" s="28" t="s">
        <v>180</v>
      </c>
      <c r="E15" s="28" t="s">
        <v>181</v>
      </c>
      <c r="F15" s="28"/>
      <c r="G15" s="28"/>
      <c r="H15" s="28"/>
      <c r="I15" s="28" t="s">
        <v>182</v>
      </c>
    </row>
  </sheetData>
  <conditionalFormatting sqref="C11:C15">
    <cfRule type="cellIs" dxfId="44" priority="1" operator="equal">
      <formula>"Success"</formula>
    </cfRule>
    <cfRule type="cellIs" dxfId="43" priority="2" operator="equal">
      <formula>"Not Tested"</formula>
    </cfRule>
    <cfRule type="cellIs" dxfId="42" priority="3" operator="equal">
      <formula>"Failed: UX"</formula>
    </cfRule>
    <cfRule type="cellIs" dxfId="41" priority="4" operator="equal">
      <formula>"Failed: MES/SCADA"</formula>
    </cfRule>
    <cfRule type="cellIs" dxfId="40" priority="5" operator="equal">
      <formula>"Failed: DB"</formula>
    </cfRule>
  </conditionalFormatting>
  <dataValidations count="1">
    <dataValidation type="list" showErrorMessage="1" errorTitle="Invalid Status" error="Select one of: Success, Not Tested, Failed: UX, Failed: MES/SCADA, Failed: DB" sqref="C11:C15" xr:uid="{00000000-0002-0000-0900-000000000000}">
      <formula1>TestStepStatus</formula1>
    </dataValidation>
  </dataValidations>
  <pageMargins left="0.7" right="0.7" top="0.75" bottom="0.75" header="0.3" footer="0.3"/>
  <pageSetup orientation="landscape"/>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I16"/>
  <sheetViews>
    <sheetView topLeftCell="A13" workbookViewId="0">
      <selection activeCell="C16" sqref="C16"/>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Work Order Reconciliation - Mark NWG Complete at Any Fabrication Station</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31.1" customHeight="1" x14ac:dyDescent="0.25">
      <c r="A7" s="26" t="s">
        <v>183</v>
      </c>
    </row>
    <row r="8" spans="1:9" ht="80.099999999999994" customHeight="1" x14ac:dyDescent="0.25">
      <c r="A8" s="26" t="s">
        <v>115</v>
      </c>
    </row>
    <row r="10" spans="1:9" ht="36" customHeight="1" x14ac:dyDescent="0.25">
      <c r="A10" s="19" t="s">
        <v>4</v>
      </c>
      <c r="B10" s="19" t="s">
        <v>5</v>
      </c>
      <c r="C10" s="19" t="s">
        <v>6</v>
      </c>
      <c r="D10" s="19" t="s">
        <v>7</v>
      </c>
      <c r="E10" s="19" t="s">
        <v>8</v>
      </c>
      <c r="F10" s="19" t="s">
        <v>9</v>
      </c>
      <c r="G10" s="19" t="s">
        <v>10</v>
      </c>
      <c r="H10" s="19" t="s">
        <v>11</v>
      </c>
      <c r="I10" s="19" t="s">
        <v>12</v>
      </c>
    </row>
    <row r="11" spans="1:9" ht="63" customHeight="1" x14ac:dyDescent="0.25">
      <c r="A11" s="27">
        <v>1</v>
      </c>
      <c r="B11" s="28">
        <v>1</v>
      </c>
      <c r="C11" s="27" t="s">
        <v>43</v>
      </c>
      <c r="D11" s="28" t="s">
        <v>184</v>
      </c>
      <c r="E11" s="28" t="s">
        <v>185</v>
      </c>
      <c r="F11" s="28" t="s">
        <v>186</v>
      </c>
      <c r="G11" s="28"/>
      <c r="H11" s="28"/>
      <c r="I11" s="28"/>
    </row>
    <row r="12" spans="1:9" ht="63" customHeight="1" x14ac:dyDescent="0.25">
      <c r="A12" s="27">
        <v>2</v>
      </c>
      <c r="B12" s="28">
        <v>1</v>
      </c>
      <c r="C12" s="27" t="s">
        <v>43</v>
      </c>
      <c r="D12" s="28" t="s">
        <v>187</v>
      </c>
      <c r="E12" s="28" t="s">
        <v>188</v>
      </c>
      <c r="F12" s="28" t="s">
        <v>189</v>
      </c>
      <c r="G12" s="28"/>
      <c r="H12" s="28"/>
      <c r="I12" s="28"/>
    </row>
    <row r="13" spans="1:9" ht="165" customHeight="1" x14ac:dyDescent="0.25">
      <c r="A13" s="27">
        <v>3</v>
      </c>
      <c r="B13" s="28">
        <v>1</v>
      </c>
      <c r="C13" s="27" t="s">
        <v>43</v>
      </c>
      <c r="D13" s="28" t="s">
        <v>190</v>
      </c>
      <c r="E13" s="28" t="s">
        <v>21</v>
      </c>
      <c r="F13" s="28"/>
      <c r="G13" s="28"/>
      <c r="H13" s="28"/>
      <c r="I13" s="28" t="s">
        <v>191</v>
      </c>
    </row>
    <row r="14" spans="1:9" ht="147.94999999999999" customHeight="1" x14ac:dyDescent="0.25">
      <c r="A14" s="27">
        <v>4</v>
      </c>
      <c r="B14" s="28">
        <v>1</v>
      </c>
      <c r="C14" s="27" t="s">
        <v>43</v>
      </c>
      <c r="D14" s="28" t="s">
        <v>192</v>
      </c>
      <c r="E14" s="28" t="s">
        <v>21</v>
      </c>
      <c r="F14" s="28"/>
      <c r="G14" s="28"/>
      <c r="H14" s="28"/>
      <c r="I14" s="28" t="s">
        <v>193</v>
      </c>
    </row>
    <row r="15" spans="1:9" ht="96.95" customHeight="1" x14ac:dyDescent="0.25">
      <c r="A15" s="27">
        <v>5</v>
      </c>
      <c r="B15" s="28">
        <v>1</v>
      </c>
      <c r="C15" s="27" t="s">
        <v>43</v>
      </c>
      <c r="D15" s="28" t="s">
        <v>194</v>
      </c>
      <c r="E15" s="28" t="s">
        <v>28</v>
      </c>
      <c r="F15" s="28"/>
      <c r="G15" s="28"/>
      <c r="H15" s="28" t="s">
        <v>195</v>
      </c>
      <c r="I15" s="28"/>
    </row>
    <row r="16" spans="1:9" ht="182.1" customHeight="1" x14ac:dyDescent="0.25">
      <c r="A16" s="27">
        <v>6</v>
      </c>
      <c r="B16" s="28">
        <v>1</v>
      </c>
      <c r="C16" s="27" t="s">
        <v>43</v>
      </c>
      <c r="D16" s="28" t="s">
        <v>196</v>
      </c>
      <c r="E16" s="28" t="s">
        <v>197</v>
      </c>
      <c r="F16" s="28"/>
      <c r="G16" s="28"/>
      <c r="H16" s="28"/>
      <c r="I16" s="28" t="s">
        <v>198</v>
      </c>
    </row>
  </sheetData>
  <conditionalFormatting sqref="C11:C16">
    <cfRule type="cellIs" dxfId="39" priority="1" operator="equal">
      <formula>"Success"</formula>
    </cfRule>
    <cfRule type="cellIs" dxfId="38" priority="2" operator="equal">
      <formula>"Not Tested"</formula>
    </cfRule>
    <cfRule type="cellIs" dxfId="37" priority="3" operator="equal">
      <formula>"Failed: UX"</formula>
    </cfRule>
    <cfRule type="cellIs" dxfId="36" priority="4" operator="equal">
      <formula>"Failed: MES/SCADA"</formula>
    </cfRule>
    <cfRule type="cellIs" dxfId="35" priority="5" operator="equal">
      <formula>"Failed: DB"</formula>
    </cfRule>
  </conditionalFormatting>
  <dataValidations count="1">
    <dataValidation type="list" showErrorMessage="1" errorTitle="Invalid Status" error="Select one of: Success, Not Tested, Failed: UX, Failed: MES/SCADA, Failed: DB" sqref="C11:C16" xr:uid="{00000000-0002-0000-0A00-000000000000}">
      <formula1>TestStepStatus</formula1>
    </dataValidation>
  </dataValidations>
  <pageMargins left="0.7" right="0.7" top="0.75" bottom="0.75" header="0.3" footer="0.3"/>
  <pageSetup orientation="landscape"/>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I16"/>
  <sheetViews>
    <sheetView topLeftCell="A13" workbookViewId="0">
      <selection activeCell="C16" sqref="C16"/>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Work Order Reconciliation - Mark WG Complete at Any Assembly Station</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31.1" customHeight="1" x14ac:dyDescent="0.25">
      <c r="A7" s="26" t="s">
        <v>199</v>
      </c>
    </row>
    <row r="8" spans="1:9" ht="80.099999999999994" customHeight="1" x14ac:dyDescent="0.25">
      <c r="A8" s="26" t="s">
        <v>115</v>
      </c>
    </row>
    <row r="10" spans="1:9" ht="36" customHeight="1" x14ac:dyDescent="0.25">
      <c r="A10" s="19" t="s">
        <v>4</v>
      </c>
      <c r="B10" s="19" t="s">
        <v>5</v>
      </c>
      <c r="C10" s="19" t="s">
        <v>6</v>
      </c>
      <c r="D10" s="19" t="s">
        <v>7</v>
      </c>
      <c r="E10" s="19" t="s">
        <v>8</v>
      </c>
      <c r="F10" s="19" t="s">
        <v>9</v>
      </c>
      <c r="G10" s="19" t="s">
        <v>10</v>
      </c>
      <c r="H10" s="19" t="s">
        <v>11</v>
      </c>
      <c r="I10" s="19" t="s">
        <v>12</v>
      </c>
    </row>
    <row r="11" spans="1:9" ht="63" customHeight="1" x14ac:dyDescent="0.25">
      <c r="A11" s="27">
        <v>1</v>
      </c>
      <c r="B11" s="28">
        <v>1</v>
      </c>
      <c r="C11" s="27" t="s">
        <v>43</v>
      </c>
      <c r="D11" s="28" t="s">
        <v>200</v>
      </c>
      <c r="E11" s="28" t="s">
        <v>201</v>
      </c>
      <c r="F11" s="28" t="s">
        <v>202</v>
      </c>
      <c r="G11" s="28"/>
      <c r="H11" s="28"/>
      <c r="I11" s="28"/>
    </row>
    <row r="12" spans="1:9" ht="63" customHeight="1" x14ac:dyDescent="0.25">
      <c r="A12" s="27">
        <v>2</v>
      </c>
      <c r="B12" s="28">
        <v>1</v>
      </c>
      <c r="C12" s="27" t="s">
        <v>43</v>
      </c>
      <c r="D12" s="28" t="s">
        <v>203</v>
      </c>
      <c r="E12" s="28" t="s">
        <v>188</v>
      </c>
      <c r="F12" s="28" t="s">
        <v>204</v>
      </c>
      <c r="G12" s="28"/>
      <c r="H12" s="28"/>
      <c r="I12" s="28"/>
    </row>
    <row r="13" spans="1:9" ht="147.94999999999999" customHeight="1" x14ac:dyDescent="0.25">
      <c r="A13" s="27">
        <v>3</v>
      </c>
      <c r="B13" s="28">
        <v>1</v>
      </c>
      <c r="C13" s="27" t="s">
        <v>43</v>
      </c>
      <c r="D13" s="28" t="s">
        <v>190</v>
      </c>
      <c r="E13" s="28" t="s">
        <v>21</v>
      </c>
      <c r="F13" s="28"/>
      <c r="G13" s="28"/>
      <c r="H13" s="28"/>
      <c r="I13" s="28" t="s">
        <v>205</v>
      </c>
    </row>
    <row r="14" spans="1:9" ht="147.94999999999999" customHeight="1" x14ac:dyDescent="0.25">
      <c r="A14" s="27">
        <v>4</v>
      </c>
      <c r="B14" s="28">
        <v>1</v>
      </c>
      <c r="C14" s="27" t="s">
        <v>43</v>
      </c>
      <c r="D14" s="28" t="s">
        <v>192</v>
      </c>
      <c r="E14" s="28" t="s">
        <v>21</v>
      </c>
      <c r="F14" s="28"/>
      <c r="G14" s="28"/>
      <c r="H14" s="28"/>
      <c r="I14" s="28" t="s">
        <v>206</v>
      </c>
    </row>
    <row r="15" spans="1:9" ht="147.94999999999999" customHeight="1" x14ac:dyDescent="0.25">
      <c r="A15" s="27">
        <v>5</v>
      </c>
      <c r="B15" s="28">
        <v>1</v>
      </c>
      <c r="C15" s="27" t="s">
        <v>43</v>
      </c>
      <c r="D15" s="28" t="s">
        <v>196</v>
      </c>
      <c r="E15" s="28" t="s">
        <v>207</v>
      </c>
      <c r="F15" s="28"/>
      <c r="G15" s="28"/>
      <c r="H15" s="28"/>
      <c r="I15" s="28" t="s">
        <v>208</v>
      </c>
    </row>
    <row r="16" spans="1:9" ht="45.95" customHeight="1" x14ac:dyDescent="0.25">
      <c r="A16" s="27">
        <v>6</v>
      </c>
      <c r="B16" s="28">
        <v>1</v>
      </c>
      <c r="C16" s="27" t="s">
        <v>43</v>
      </c>
      <c r="D16" s="28" t="s">
        <v>194</v>
      </c>
      <c r="E16" s="28" t="s">
        <v>28</v>
      </c>
      <c r="F16" s="28"/>
      <c r="G16" s="28"/>
      <c r="H16" s="28" t="s">
        <v>209</v>
      </c>
      <c r="I16" s="28"/>
    </row>
  </sheetData>
  <conditionalFormatting sqref="C11:C16">
    <cfRule type="cellIs" dxfId="34" priority="1" operator="equal">
      <formula>"Success"</formula>
    </cfRule>
    <cfRule type="cellIs" dxfId="33" priority="2" operator="equal">
      <formula>"Not Tested"</formula>
    </cfRule>
    <cfRule type="cellIs" dxfId="32" priority="3" operator="equal">
      <formula>"Failed: UX"</formula>
    </cfRule>
    <cfRule type="cellIs" dxfId="31" priority="4" operator="equal">
      <formula>"Failed: MES/SCADA"</formula>
    </cfRule>
    <cfRule type="cellIs" dxfId="30" priority="5" operator="equal">
      <formula>"Failed: DB"</formula>
    </cfRule>
  </conditionalFormatting>
  <dataValidations count="1">
    <dataValidation type="list" showErrorMessage="1" errorTitle="Invalid Status" error="Select one of: Success, Not Tested, Failed: UX, Failed: MES/SCADA, Failed: DB" sqref="C11:C16" xr:uid="{00000000-0002-0000-0B00-000000000000}">
      <formula1>TestStepStatus</formula1>
    </dataValidation>
  </dataValidations>
  <pageMargins left="0.7" right="0.7" top="0.75" bottom="0.75" header="0.3" footer="0.3"/>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I14"/>
  <sheetViews>
    <sheetView topLeftCell="A13" workbookViewId="0">
      <selection activeCell="C14" sqref="C14"/>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Work Order Reconciliation - Schedule NWG to the Correct Pre-Paint Station</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47.94999999999999" customHeight="1" x14ac:dyDescent="0.25">
      <c r="A7" s="26" t="s">
        <v>210</v>
      </c>
    </row>
    <row r="8" spans="1:9" ht="114" customHeight="1" x14ac:dyDescent="0.25">
      <c r="A8" s="26" t="s">
        <v>211</v>
      </c>
    </row>
    <row r="10" spans="1:9" ht="36" customHeight="1" x14ac:dyDescent="0.25">
      <c r="A10" s="19" t="s">
        <v>4</v>
      </c>
      <c r="B10" s="19" t="s">
        <v>5</v>
      </c>
      <c r="C10" s="19" t="s">
        <v>6</v>
      </c>
      <c r="D10" s="19" t="s">
        <v>7</v>
      </c>
      <c r="E10" s="19" t="s">
        <v>8</v>
      </c>
      <c r="F10" s="19" t="s">
        <v>9</v>
      </c>
      <c r="G10" s="19" t="s">
        <v>10</v>
      </c>
      <c r="H10" s="19" t="s">
        <v>11</v>
      </c>
      <c r="I10" s="19" t="s">
        <v>12</v>
      </c>
    </row>
    <row r="11" spans="1:9" ht="114" customHeight="1" x14ac:dyDescent="0.25">
      <c r="A11" s="27">
        <v>1</v>
      </c>
      <c r="B11" s="28">
        <v>1</v>
      </c>
      <c r="C11" s="27" t="s">
        <v>43</v>
      </c>
      <c r="D11" s="28" t="s">
        <v>212</v>
      </c>
      <c r="E11" s="28" t="s">
        <v>213</v>
      </c>
      <c r="F11" s="28" t="s">
        <v>214</v>
      </c>
      <c r="G11" s="28"/>
      <c r="H11" s="28"/>
      <c r="I11" s="28" t="s">
        <v>215</v>
      </c>
    </row>
    <row r="12" spans="1:9" ht="114" customHeight="1" x14ac:dyDescent="0.25">
      <c r="A12" s="27">
        <v>2</v>
      </c>
      <c r="B12" s="28">
        <v>1</v>
      </c>
      <c r="C12" s="27" t="s">
        <v>43</v>
      </c>
      <c r="D12" s="28" t="s">
        <v>216</v>
      </c>
      <c r="E12" s="28" t="s">
        <v>217</v>
      </c>
      <c r="F12" s="28" t="s">
        <v>218</v>
      </c>
      <c r="G12" s="28"/>
      <c r="H12" s="28"/>
      <c r="I12" s="28" t="s">
        <v>219</v>
      </c>
    </row>
    <row r="13" spans="1:9" ht="114" customHeight="1" x14ac:dyDescent="0.25">
      <c r="A13" s="27">
        <v>3</v>
      </c>
      <c r="B13" s="28">
        <v>1</v>
      </c>
      <c r="C13" s="27" t="s">
        <v>43</v>
      </c>
      <c r="D13" s="28" t="s">
        <v>220</v>
      </c>
      <c r="E13" s="28" t="s">
        <v>221</v>
      </c>
      <c r="F13" s="28" t="s">
        <v>222</v>
      </c>
      <c r="G13" s="28"/>
      <c r="H13" s="28"/>
      <c r="I13" s="28" t="s">
        <v>223</v>
      </c>
    </row>
    <row r="14" spans="1:9" ht="182.1" customHeight="1" x14ac:dyDescent="0.25">
      <c r="A14" s="27">
        <v>4</v>
      </c>
      <c r="B14" s="28">
        <v>1</v>
      </c>
      <c r="C14" s="27" t="s">
        <v>43</v>
      </c>
      <c r="D14" s="28" t="s">
        <v>224</v>
      </c>
      <c r="E14" s="28" t="s">
        <v>225</v>
      </c>
      <c r="F14" s="28"/>
      <c r="G14" s="28"/>
      <c r="H14" s="28"/>
      <c r="I14" s="28" t="s">
        <v>226</v>
      </c>
    </row>
  </sheetData>
  <conditionalFormatting sqref="C11:C14">
    <cfRule type="cellIs" dxfId="29" priority="1" operator="equal">
      <formula>"Success"</formula>
    </cfRule>
    <cfRule type="cellIs" dxfId="28" priority="2" operator="equal">
      <formula>"Not Tested"</formula>
    </cfRule>
    <cfRule type="cellIs" dxfId="27" priority="3" operator="equal">
      <formula>"Failed: UX"</formula>
    </cfRule>
    <cfRule type="cellIs" dxfId="26" priority="4" operator="equal">
      <formula>"Failed: MES/SCADA"</formula>
    </cfRule>
    <cfRule type="cellIs" dxfId="25" priority="5" operator="equal">
      <formula>"Failed: DB"</formula>
    </cfRule>
  </conditionalFormatting>
  <dataValidations count="1">
    <dataValidation type="list" showErrorMessage="1" errorTitle="Invalid Status" error="Select one of: Success, Not Tested, Failed: UX, Failed: MES/SCADA, Failed: DB" sqref="C11:C14" xr:uid="{00000000-0002-0000-0C00-000000000000}">
      <formula1>TestStepStatus</formula1>
    </dataValidation>
  </dataValidations>
  <pageMargins left="0.7" right="0.7" top="0.75" bottom="0.75" header="0.3" footer="0.3"/>
  <pageSetup orientation="landscape"/>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I15"/>
  <sheetViews>
    <sheetView topLeftCell="A13" workbookViewId="0">
      <selection activeCell="C15" sqref="C15"/>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Work Order Reconciliation - Schedule NWG for Pre-Assembly Clears Pre-Paint</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14" customHeight="1" x14ac:dyDescent="0.25">
      <c r="A7" s="26" t="s">
        <v>227</v>
      </c>
    </row>
    <row r="8" spans="1:9" ht="96.95" customHeight="1" x14ac:dyDescent="0.25">
      <c r="A8" s="26" t="s">
        <v>228</v>
      </c>
    </row>
    <row r="10" spans="1:9" ht="36" customHeight="1" x14ac:dyDescent="0.25">
      <c r="A10" s="19" t="s">
        <v>4</v>
      </c>
      <c r="B10" s="19" t="s">
        <v>5</v>
      </c>
      <c r="C10" s="19" t="s">
        <v>6</v>
      </c>
      <c r="D10" s="19" t="s">
        <v>7</v>
      </c>
      <c r="E10" s="19" t="s">
        <v>8</v>
      </c>
      <c r="F10" s="19" t="s">
        <v>9</v>
      </c>
      <c r="G10" s="19" t="s">
        <v>10</v>
      </c>
      <c r="H10" s="19" t="s">
        <v>11</v>
      </c>
      <c r="I10" s="19" t="s">
        <v>12</v>
      </c>
    </row>
    <row r="11" spans="1:9" ht="96.95" customHeight="1" x14ac:dyDescent="0.25">
      <c r="A11" s="27">
        <v>1</v>
      </c>
      <c r="B11" s="28">
        <v>1</v>
      </c>
      <c r="C11" s="27" t="s">
        <v>43</v>
      </c>
      <c r="D11" s="28" t="s">
        <v>229</v>
      </c>
      <c r="E11" s="28" t="s">
        <v>230</v>
      </c>
      <c r="F11" s="28" t="s">
        <v>231</v>
      </c>
      <c r="G11" s="28"/>
      <c r="H11" s="28"/>
      <c r="I11" s="28"/>
    </row>
    <row r="12" spans="1:9" ht="114" customHeight="1" x14ac:dyDescent="0.25">
      <c r="A12" s="27">
        <v>2</v>
      </c>
      <c r="B12" s="28">
        <v>1</v>
      </c>
      <c r="C12" s="27" t="s">
        <v>43</v>
      </c>
      <c r="D12" s="28" t="s">
        <v>232</v>
      </c>
      <c r="E12" s="28" t="s">
        <v>172</v>
      </c>
      <c r="F12" s="28"/>
      <c r="G12" s="28"/>
      <c r="H12" s="28"/>
      <c r="I12" s="28" t="s">
        <v>233</v>
      </c>
    </row>
    <row r="13" spans="1:9" ht="165" customHeight="1" x14ac:dyDescent="0.25">
      <c r="A13" s="27">
        <v>3</v>
      </c>
      <c r="B13" s="28">
        <v>1</v>
      </c>
      <c r="C13" s="27" t="s">
        <v>43</v>
      </c>
      <c r="D13" s="28" t="s">
        <v>234</v>
      </c>
      <c r="E13" s="28" t="s">
        <v>172</v>
      </c>
      <c r="F13" s="28"/>
      <c r="G13" s="28"/>
      <c r="H13" s="28"/>
      <c r="I13" s="28" t="s">
        <v>235</v>
      </c>
    </row>
    <row r="14" spans="1:9" ht="165" customHeight="1" x14ac:dyDescent="0.25">
      <c r="A14" s="27">
        <v>4</v>
      </c>
      <c r="B14" s="28">
        <v>1</v>
      </c>
      <c r="C14" s="27" t="s">
        <v>43</v>
      </c>
      <c r="D14" s="28" t="s">
        <v>236</v>
      </c>
      <c r="E14" s="28" t="s">
        <v>172</v>
      </c>
      <c r="F14" s="28"/>
      <c r="G14" s="28"/>
      <c r="H14" s="28"/>
      <c r="I14" s="28" t="s">
        <v>237</v>
      </c>
    </row>
    <row r="15" spans="1:9" ht="80.099999999999994" customHeight="1" x14ac:dyDescent="0.25">
      <c r="A15" s="27">
        <v>5</v>
      </c>
      <c r="B15" s="28">
        <v>1</v>
      </c>
      <c r="C15" s="27" t="s">
        <v>43</v>
      </c>
      <c r="D15" s="28" t="s">
        <v>238</v>
      </c>
      <c r="E15" s="28" t="s">
        <v>239</v>
      </c>
      <c r="F15" s="28" t="s">
        <v>240</v>
      </c>
      <c r="G15" s="28"/>
      <c r="H15" s="28"/>
      <c r="I15" s="28"/>
    </row>
  </sheetData>
  <conditionalFormatting sqref="C11:C15">
    <cfRule type="cellIs" dxfId="24" priority="1" operator="equal">
      <formula>"Success"</formula>
    </cfRule>
    <cfRule type="cellIs" dxfId="23" priority="2" operator="equal">
      <formula>"Not Tested"</formula>
    </cfRule>
    <cfRule type="cellIs" dxfId="22" priority="3" operator="equal">
      <formula>"Failed: UX"</formula>
    </cfRule>
    <cfRule type="cellIs" dxfId="21" priority="4" operator="equal">
      <formula>"Failed: MES/SCADA"</formula>
    </cfRule>
    <cfRule type="cellIs" dxfId="20" priority="5" operator="equal">
      <formula>"Failed: DB"</formula>
    </cfRule>
  </conditionalFormatting>
  <dataValidations count="1">
    <dataValidation type="list" showErrorMessage="1" errorTitle="Invalid Status" error="Select one of: Success, Not Tested, Failed: UX, Failed: MES/SCADA, Failed: DB" sqref="C11:C15" xr:uid="{00000000-0002-0000-0D00-000000000000}">
      <formula1>TestStepStatus</formula1>
    </dataValidation>
  </dataValidations>
  <pageMargins left="0.7" right="0.7" top="0.75" bottom="0.75" header="0.3" footer="0.3"/>
  <pageSetup orientation="landscape"/>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I14"/>
  <sheetViews>
    <sheetView topLeftCell="A10" workbookViewId="0">
      <selection activeCell="D12" sqref="D12"/>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Work Order Reconciliation - Same Station Cannot Be Scheduled Twice</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65" customHeight="1" x14ac:dyDescent="0.25">
      <c r="A7" s="26" t="s">
        <v>241</v>
      </c>
    </row>
    <row r="8" spans="1:9" ht="63" customHeight="1" x14ac:dyDescent="0.25">
      <c r="A8" s="26" t="s">
        <v>92</v>
      </c>
    </row>
    <row r="10" spans="1:9" ht="36" customHeight="1" x14ac:dyDescent="0.25">
      <c r="A10" s="19" t="s">
        <v>4</v>
      </c>
      <c r="B10" s="19" t="s">
        <v>5</v>
      </c>
      <c r="C10" s="19" t="s">
        <v>6</v>
      </c>
      <c r="D10" s="19" t="s">
        <v>7</v>
      </c>
      <c r="E10" s="19" t="s">
        <v>8</v>
      </c>
      <c r="F10" s="19" t="s">
        <v>9</v>
      </c>
      <c r="G10" s="19" t="s">
        <v>10</v>
      </c>
      <c r="H10" s="19" t="s">
        <v>11</v>
      </c>
      <c r="I10" s="19" t="s">
        <v>12</v>
      </c>
    </row>
    <row r="11" spans="1:9" ht="80.099999999999994" customHeight="1" x14ac:dyDescent="0.25">
      <c r="A11" s="27">
        <v>1</v>
      </c>
      <c r="B11" s="28">
        <v>1</v>
      </c>
      <c r="C11" s="27" t="s">
        <v>43</v>
      </c>
      <c r="D11" s="28" t="s">
        <v>242</v>
      </c>
      <c r="E11" s="28" t="s">
        <v>243</v>
      </c>
      <c r="F11" s="28" t="s">
        <v>244</v>
      </c>
      <c r="G11" s="28"/>
      <c r="H11" s="28"/>
      <c r="I11" s="28"/>
    </row>
    <row r="12" spans="1:9" ht="114" customHeight="1" x14ac:dyDescent="0.25">
      <c r="A12" s="27">
        <v>2</v>
      </c>
      <c r="B12" s="28">
        <v>1</v>
      </c>
      <c r="C12" s="27" t="s">
        <v>43</v>
      </c>
      <c r="D12" s="28" t="s">
        <v>245</v>
      </c>
      <c r="E12" s="28" t="s">
        <v>246</v>
      </c>
      <c r="F12" s="28" t="s">
        <v>247</v>
      </c>
      <c r="G12" s="28"/>
      <c r="H12" s="28"/>
      <c r="I12" s="28"/>
    </row>
    <row r="13" spans="1:9" ht="80.099999999999994" customHeight="1" x14ac:dyDescent="0.25">
      <c r="A13" s="27">
        <v>3</v>
      </c>
      <c r="B13" s="28">
        <v>1</v>
      </c>
      <c r="C13" s="27" t="s">
        <v>43</v>
      </c>
      <c r="D13" s="28" t="s">
        <v>248</v>
      </c>
      <c r="E13" s="28" t="s">
        <v>249</v>
      </c>
      <c r="F13" s="28" t="s">
        <v>250</v>
      </c>
      <c r="G13" s="28"/>
      <c r="H13" s="28"/>
      <c r="I13" s="28"/>
    </row>
    <row r="14" spans="1:9" ht="131.1" customHeight="1" x14ac:dyDescent="0.25">
      <c r="A14" s="27">
        <v>4</v>
      </c>
      <c r="B14" s="28">
        <v>1</v>
      </c>
      <c r="C14" s="27" t="s">
        <v>43</v>
      </c>
      <c r="D14" s="28" t="s">
        <v>251</v>
      </c>
      <c r="E14" s="28" t="s">
        <v>252</v>
      </c>
      <c r="F14" s="28"/>
      <c r="G14" s="28"/>
      <c r="H14" s="28"/>
      <c r="I14" s="28" t="s">
        <v>253</v>
      </c>
    </row>
  </sheetData>
  <conditionalFormatting sqref="C11:C14">
    <cfRule type="cellIs" dxfId="19" priority="1" operator="equal">
      <formula>"Success"</formula>
    </cfRule>
    <cfRule type="cellIs" dxfId="18" priority="2" operator="equal">
      <formula>"Not Tested"</formula>
    </cfRule>
    <cfRule type="cellIs" dxfId="17" priority="3" operator="equal">
      <formula>"Failed: UX"</formula>
    </cfRule>
    <cfRule type="cellIs" dxfId="16" priority="4" operator="equal">
      <formula>"Failed: MES/SCADA"</formula>
    </cfRule>
    <cfRule type="cellIs" dxfId="15" priority="5" operator="equal">
      <formula>"Failed: DB"</formula>
    </cfRule>
  </conditionalFormatting>
  <dataValidations count="1">
    <dataValidation type="list" showErrorMessage="1" errorTitle="Invalid Status" error="Select one of: Success, Not Tested, Failed: UX, Failed: MES/SCADA, Failed: DB" sqref="C11:C14" xr:uid="{00000000-0002-0000-0E00-000000000000}">
      <formula1>TestStepStatus</formula1>
    </dataValidation>
  </dataValidations>
  <pageMargins left="0.7" right="0.7" top="0.75" bottom="0.75" header="0.3" footer="0.3"/>
  <pageSetup orientation="landscape"/>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I15"/>
  <sheetViews>
    <sheetView topLeftCell="A11" workbookViewId="0">
      <selection activeCell="D13" sqref="D13"/>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Edge Case - WG Completed at the Last Station With a Missing Assembly Row</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98.95" customHeight="1" x14ac:dyDescent="0.25">
      <c r="A7" s="26" t="s">
        <v>2</v>
      </c>
    </row>
    <row r="8" spans="1:9" ht="131.1" customHeight="1" x14ac:dyDescent="0.25">
      <c r="A8" s="26" t="s">
        <v>3</v>
      </c>
    </row>
    <row r="10" spans="1:9" ht="36" customHeight="1" x14ac:dyDescent="0.25">
      <c r="A10" s="19" t="s">
        <v>4</v>
      </c>
      <c r="B10" s="19" t="s">
        <v>5</v>
      </c>
      <c r="C10" s="19" t="s">
        <v>6</v>
      </c>
      <c r="D10" s="19" t="s">
        <v>7</v>
      </c>
      <c r="E10" s="19" t="s">
        <v>8</v>
      </c>
      <c r="F10" s="19" t="s">
        <v>9</v>
      </c>
      <c r="G10" s="19" t="s">
        <v>10</v>
      </c>
      <c r="H10" s="19" t="s">
        <v>11</v>
      </c>
      <c r="I10" s="19" t="s">
        <v>12</v>
      </c>
    </row>
    <row r="11" spans="1:9" ht="165" customHeight="1" x14ac:dyDescent="0.25">
      <c r="A11" s="27">
        <v>1</v>
      </c>
      <c r="B11" s="28">
        <v>1</v>
      </c>
      <c r="C11" s="27" t="s">
        <v>43</v>
      </c>
      <c r="D11" s="28" t="s">
        <v>14</v>
      </c>
      <c r="E11" s="28" t="s">
        <v>15</v>
      </c>
      <c r="F11" s="28"/>
      <c r="G11" s="28"/>
      <c r="H11" s="28"/>
      <c r="I11" s="28" t="s">
        <v>16</v>
      </c>
    </row>
    <row r="12" spans="1:9" ht="96.95" customHeight="1" x14ac:dyDescent="0.25">
      <c r="A12" s="27">
        <v>2</v>
      </c>
      <c r="B12" s="28">
        <v>1</v>
      </c>
      <c r="C12" s="27" t="s">
        <v>43</v>
      </c>
      <c r="D12" s="28" t="s">
        <v>17</v>
      </c>
      <c r="E12" s="28" t="s">
        <v>18</v>
      </c>
      <c r="F12" s="28" t="s">
        <v>19</v>
      </c>
      <c r="G12" s="28"/>
      <c r="H12" s="28"/>
      <c r="I12" s="28"/>
    </row>
    <row r="13" spans="1:9" ht="165" customHeight="1" x14ac:dyDescent="0.25">
      <c r="A13" s="27">
        <v>3</v>
      </c>
      <c r="B13" s="28">
        <v>1</v>
      </c>
      <c r="C13" s="27" t="s">
        <v>43</v>
      </c>
      <c r="D13" s="28" t="s">
        <v>20</v>
      </c>
      <c r="E13" s="28" t="s">
        <v>21</v>
      </c>
      <c r="F13" s="28"/>
      <c r="G13" s="28"/>
      <c r="H13" s="28"/>
      <c r="I13" s="28" t="s">
        <v>22</v>
      </c>
    </row>
    <row r="14" spans="1:9" ht="147.94999999999999" customHeight="1" x14ac:dyDescent="0.25">
      <c r="A14" s="27">
        <v>4</v>
      </c>
      <c r="B14" s="28">
        <v>1</v>
      </c>
      <c r="C14" s="27" t="s">
        <v>43</v>
      </c>
      <c r="D14" s="28" t="s">
        <v>23</v>
      </c>
      <c r="E14" s="28" t="s">
        <v>24</v>
      </c>
      <c r="F14" s="28"/>
      <c r="G14" s="28"/>
      <c r="H14" s="28" t="s">
        <v>25</v>
      </c>
      <c r="I14" s="28" t="s">
        <v>26</v>
      </c>
    </row>
    <row r="15" spans="1:9" ht="63" customHeight="1" x14ac:dyDescent="0.25">
      <c r="A15" s="27">
        <v>5</v>
      </c>
      <c r="B15" s="28">
        <v>1</v>
      </c>
      <c r="C15" s="27" t="s">
        <v>43</v>
      </c>
      <c r="D15" s="28" t="s">
        <v>27</v>
      </c>
      <c r="E15" s="28" t="s">
        <v>28</v>
      </c>
      <c r="F15" s="28"/>
      <c r="G15" s="28"/>
      <c r="H15" s="28" t="s">
        <v>29</v>
      </c>
      <c r="I15" s="28"/>
    </row>
  </sheetData>
  <conditionalFormatting sqref="C11:C15">
    <cfRule type="cellIs" dxfId="14" priority="1" operator="equal">
      <formula>"Success"</formula>
    </cfRule>
    <cfRule type="cellIs" dxfId="13" priority="2" operator="equal">
      <formula>"Not Tested"</formula>
    </cfRule>
    <cfRule type="cellIs" dxfId="12" priority="3" operator="equal">
      <formula>"Failed: UX"</formula>
    </cfRule>
    <cfRule type="cellIs" dxfId="11" priority="4" operator="equal">
      <formula>"Failed: MES/SCADA"</formula>
    </cfRule>
    <cfRule type="cellIs" dxfId="10" priority="5" operator="equal">
      <formula>"Failed: DB"</formula>
    </cfRule>
  </conditionalFormatting>
  <dataValidations count="1">
    <dataValidation type="list" showErrorMessage="1" errorTitle="Invalid Status" error="Select one of: Success, Not Tested, Failed: UX, Failed: MES/SCADA, Failed: DB" sqref="C11:C15" xr:uid="{00000000-0002-0000-0F00-000000000000}">
      <formula1>TestStepStatus</formula1>
    </dataValidation>
  </dataValidations>
  <pageMargins left="0.7" right="0.7" top="0.75" bottom="0.75" header="0.3" footer="0.3"/>
  <pageSetup orientation="landscape"/>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4"/>
  <sheetViews>
    <sheetView topLeftCell="A7" workbookViewId="0">
      <selection activeCell="C14" sqref="C14"/>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Edge Case - Clearing a ComponentID or AMR Assignment Behavior</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14" customHeight="1" x14ac:dyDescent="0.25">
      <c r="A7" s="26" t="s">
        <v>254</v>
      </c>
    </row>
    <row r="8" spans="1:9" ht="63" customHeight="1" x14ac:dyDescent="0.25">
      <c r="A8" s="26" t="s">
        <v>92</v>
      </c>
    </row>
    <row r="10" spans="1:9" ht="36" customHeight="1" x14ac:dyDescent="0.25">
      <c r="A10" s="19" t="s">
        <v>4</v>
      </c>
      <c r="B10" s="19" t="s">
        <v>5</v>
      </c>
      <c r="C10" s="19" t="s">
        <v>6</v>
      </c>
      <c r="D10" s="19" t="s">
        <v>7</v>
      </c>
      <c r="E10" s="19" t="s">
        <v>8</v>
      </c>
      <c r="F10" s="19" t="s">
        <v>9</v>
      </c>
      <c r="G10" s="19" t="s">
        <v>10</v>
      </c>
      <c r="H10" s="19" t="s">
        <v>11</v>
      </c>
      <c r="I10" s="19" t="s">
        <v>12</v>
      </c>
    </row>
    <row r="11" spans="1:9" ht="131.1" customHeight="1" x14ac:dyDescent="0.25">
      <c r="A11" s="27">
        <v>1</v>
      </c>
      <c r="B11" s="28">
        <v>1</v>
      </c>
      <c r="C11" s="27" t="s">
        <v>43</v>
      </c>
      <c r="D11" s="28" t="s">
        <v>255</v>
      </c>
      <c r="E11" s="28" t="s">
        <v>256</v>
      </c>
      <c r="F11" s="28" t="s">
        <v>257</v>
      </c>
      <c r="G11" s="28"/>
      <c r="H11" s="28"/>
      <c r="I11" s="28" t="s">
        <v>258</v>
      </c>
    </row>
    <row r="12" spans="1:9" ht="72" customHeight="1" x14ac:dyDescent="0.25">
      <c r="A12" s="27">
        <v>2</v>
      </c>
      <c r="B12" s="28">
        <v>1</v>
      </c>
      <c r="C12" s="27" t="s">
        <v>43</v>
      </c>
      <c r="D12" s="28" t="s">
        <v>259</v>
      </c>
      <c r="E12" s="28" t="s">
        <v>260</v>
      </c>
      <c r="F12" s="28" t="s">
        <v>261</v>
      </c>
      <c r="G12" s="28"/>
      <c r="H12" s="28" t="s">
        <v>262</v>
      </c>
      <c r="I12" s="28"/>
    </row>
    <row r="13" spans="1:9" ht="96.95" customHeight="1" x14ac:dyDescent="0.25">
      <c r="A13" s="27">
        <v>3</v>
      </c>
      <c r="B13" s="28">
        <v>1</v>
      </c>
      <c r="C13" s="27" t="s">
        <v>43</v>
      </c>
      <c r="D13" s="28" t="s">
        <v>263</v>
      </c>
      <c r="E13" s="28" t="s">
        <v>264</v>
      </c>
      <c r="F13" s="28" t="s">
        <v>265</v>
      </c>
      <c r="G13" s="28"/>
      <c r="H13" s="28"/>
      <c r="I13" s="28"/>
    </row>
    <row r="14" spans="1:9" ht="80.099999999999994" customHeight="1" x14ac:dyDescent="0.25">
      <c r="A14" s="27">
        <v>4</v>
      </c>
      <c r="B14" s="28">
        <v>1</v>
      </c>
      <c r="C14" s="27" t="s">
        <v>43</v>
      </c>
      <c r="D14" s="28" t="s">
        <v>266</v>
      </c>
      <c r="E14" s="28" t="s">
        <v>267</v>
      </c>
      <c r="F14" s="28" t="s">
        <v>268</v>
      </c>
      <c r="G14" s="28"/>
      <c r="H14" s="28"/>
      <c r="I14" s="28"/>
    </row>
  </sheetData>
  <conditionalFormatting sqref="C11:C14">
    <cfRule type="cellIs" dxfId="9" priority="1" operator="equal">
      <formula>"Success"</formula>
    </cfRule>
    <cfRule type="cellIs" dxfId="8" priority="2" operator="equal">
      <formula>"Not Tested"</formula>
    </cfRule>
    <cfRule type="cellIs" dxfId="7" priority="3" operator="equal">
      <formula>"Failed: UX"</formula>
    </cfRule>
    <cfRule type="cellIs" dxfId="6" priority="4" operator="equal">
      <formula>"Failed: MES/SCADA"</formula>
    </cfRule>
    <cfRule type="cellIs" dxfId="5" priority="5" operator="equal">
      <formula>"Failed: DB"</formula>
    </cfRule>
  </conditionalFormatting>
  <dataValidations count="1">
    <dataValidation type="list" showErrorMessage="1" errorTitle="Invalid Status" error="Select one of: Success, Not Tested, Failed: UX, Failed: MES/SCADA, Failed: DB" sqref="C11:C14" xr:uid="{00000000-0002-0000-1000-000000000000}">
      <formula1>TestStepStatus</formula1>
    </dataValidation>
  </dataValidations>
  <pageMargins left="0.7" right="0.7" top="0.75" bottom="0.75" header="0.3" footer="0.3"/>
  <pageSetup orientation="landscape"/>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A1:I13"/>
  <sheetViews>
    <sheetView tabSelected="1" topLeftCell="A7" workbookViewId="0">
      <selection activeCell="D13" sqref="D13"/>
    </sheetView>
  </sheetViews>
  <sheetFormatPr defaultRowHeight="15" x14ac:dyDescent="0.25"/>
  <cols>
    <col min="1" max="1" width="30.42578125" customWidth="1"/>
    <col min="2" max="2" width="17" customWidth="1"/>
    <col min="3" max="3" width="21.85546875" customWidth="1"/>
    <col min="4" max="4" width="45.42578125" customWidth="1"/>
    <col min="5" max="5" width="35.85546875" customWidth="1"/>
    <col min="6" max="6" width="31.7109375" customWidth="1"/>
    <col min="7" max="7" width="52.28515625" customWidth="1"/>
    <col min="8" max="8" width="65.5703125" customWidth="1"/>
    <col min="9" max="9" width="71" customWidth="1"/>
  </cols>
  <sheetData>
    <row r="1" spans="1:9" ht="21.95" customHeight="1" x14ac:dyDescent="0.3">
      <c r="A1" s="11" t="str">
        <f t="array" aca="1" ref="A1" ca="1">IFERROR(_xlfn.CONCAT("Test Case Title: ", INDEX(ToC_Table[Test Case Title], MATCH(MID(CELL("filename", A1), FIND("]", CELL("filename", A1))+1, 255), ToC_Table[Test Case ID], 0))), "Test Case Title: (not in ToC)")</f>
        <v>Test Case Title: Edge Case - Backend Refresh Failure Does Not Block or Falsely Log the Triggering Action</v>
      </c>
      <c r="B1" s="10"/>
    </row>
    <row r="2" spans="1:9" ht="21.95" customHeight="1" x14ac:dyDescent="0.3">
      <c r="A2" s="9" t="str">
        <f t="array" aca="1" ref="A2" ca="1">IFERROR(_xlfn.CONCAT("Developer: ", INDEX(ToC_Table[Developer], MATCH(MID(CELL("filename", A1), FIND("]", CELL("filename", A1))+1, 255), ToC_Table[Test Case ID], 0))), "Developer: (not in ToC)")</f>
        <v>Developer: Cameron Metzgar</v>
      </c>
    </row>
    <row r="3" spans="1:9" ht="21.95" customHeight="1" x14ac:dyDescent="0.25">
      <c r="A3" t="str">
        <f t="array" aca="1" ref="A3" ca="1">IFERROR(_xlfn.CONCAT("Execution Date: ", IF(ISBLANK(INDEX(ToC_Table[Execution Date], MATCH(MID(CELL("filename", A1), FIND("]", CELL("filename", A1))+1, 255), ToC_Table[Test Case ID], 0))), "Not Set", TEXT(INDEX(ToC_Table[Execution Date], MATCH(MID(CELL("filename", A1), FIND("]", CELL("filename", A1))+1, 255), ToC_Table[Test Case ID], 0)), "mm/dd/yyyy"))), "Execution Date: (not in ToC)")</f>
        <v>Execution Date: Not Set</v>
      </c>
    </row>
    <row r="4" spans="1:9" x14ac:dyDescent="0.25">
      <c r="A4" t="s">
        <v>0</v>
      </c>
    </row>
    <row r="6" spans="1:9" ht="21" customHeight="1" x14ac:dyDescent="0.35">
      <c r="A6" s="25" t="s">
        <v>1</v>
      </c>
    </row>
    <row r="7" spans="1:9" ht="131.1" customHeight="1" x14ac:dyDescent="0.25">
      <c r="A7" s="26" t="s">
        <v>269</v>
      </c>
    </row>
    <row r="8" spans="1:9" ht="96.95" customHeight="1" x14ac:dyDescent="0.25">
      <c r="A8" s="26" t="s">
        <v>140</v>
      </c>
    </row>
    <row r="10" spans="1:9" ht="36" customHeight="1" x14ac:dyDescent="0.25">
      <c r="A10" s="19" t="s">
        <v>4</v>
      </c>
      <c r="B10" s="19" t="s">
        <v>5</v>
      </c>
      <c r="C10" s="19" t="s">
        <v>6</v>
      </c>
      <c r="D10" s="19" t="s">
        <v>7</v>
      </c>
      <c r="E10" s="19" t="s">
        <v>8</v>
      </c>
      <c r="F10" s="19" t="s">
        <v>9</v>
      </c>
      <c r="G10" s="19" t="s">
        <v>10</v>
      </c>
      <c r="H10" s="19" t="s">
        <v>11</v>
      </c>
      <c r="I10" s="19" t="s">
        <v>12</v>
      </c>
    </row>
    <row r="11" spans="1:9" ht="80.099999999999994" customHeight="1" x14ac:dyDescent="0.25">
      <c r="A11" s="27">
        <v>1</v>
      </c>
      <c r="B11" s="28">
        <v>1</v>
      </c>
      <c r="C11" s="27" t="s">
        <v>43</v>
      </c>
      <c r="D11" s="28" t="s">
        <v>270</v>
      </c>
      <c r="E11" s="28" t="s">
        <v>271</v>
      </c>
      <c r="F11" s="28" t="s">
        <v>272</v>
      </c>
      <c r="G11" s="28"/>
      <c r="H11" s="28" t="s">
        <v>273</v>
      </c>
      <c r="I11" s="28"/>
    </row>
    <row r="12" spans="1:9" ht="147.94999999999999" customHeight="1" x14ac:dyDescent="0.25">
      <c r="A12" s="27">
        <v>3</v>
      </c>
      <c r="B12" s="28">
        <v>1</v>
      </c>
      <c r="C12" s="27" t="s">
        <v>43</v>
      </c>
      <c r="D12" s="28" t="s">
        <v>274</v>
      </c>
      <c r="E12" s="28" t="s">
        <v>275</v>
      </c>
      <c r="F12" s="28" t="s">
        <v>276</v>
      </c>
      <c r="G12" s="28"/>
      <c r="H12" s="28"/>
      <c r="I12" s="28" t="s">
        <v>277</v>
      </c>
    </row>
    <row r="13" spans="1:9" ht="63" customHeight="1" x14ac:dyDescent="0.25">
      <c r="A13" s="27">
        <v>4</v>
      </c>
      <c r="B13" s="28">
        <v>1</v>
      </c>
      <c r="C13" s="27" t="s">
        <v>13</v>
      </c>
      <c r="D13" s="28" t="s">
        <v>278</v>
      </c>
      <c r="E13" s="28" t="s">
        <v>279</v>
      </c>
      <c r="F13" s="28" t="s">
        <v>280</v>
      </c>
      <c r="G13" s="28"/>
      <c r="H13" s="28"/>
      <c r="I13" s="28" t="s">
        <v>281</v>
      </c>
    </row>
  </sheetData>
  <conditionalFormatting sqref="C11:C13">
    <cfRule type="cellIs" dxfId="4" priority="1" operator="equal">
      <formula>"Success"</formula>
    </cfRule>
    <cfRule type="cellIs" dxfId="3" priority="2" operator="equal">
      <formula>"Not Tested"</formula>
    </cfRule>
    <cfRule type="cellIs" dxfId="2" priority="3" operator="equal">
      <formula>"Failed: UX"</formula>
    </cfRule>
    <cfRule type="cellIs" dxfId="1" priority="4" operator="equal">
      <formula>"Failed: MES/SCADA"</formula>
    </cfRule>
    <cfRule type="cellIs" dxfId="0" priority="5" operator="equal">
      <formula>"Failed: DB"</formula>
    </cfRule>
  </conditionalFormatting>
  <dataValidations count="1">
    <dataValidation type="list" showErrorMessage="1" errorTitle="Invalid Status" error="Select one of: Success, Not Tested, Failed: UX, Failed: MES/SCADA, Failed: DB" sqref="C11:C13" xr:uid="{00000000-0002-0000-1100-000000000000}">
      <formula1>TestStepStatus</formula1>
    </dataValidation>
  </dataValidations>
  <pageMargins left="0.7" right="0.7" top="0.75" bottom="0.75" header="0.3" footer="0.3"/>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Open Questions</vt:lpstr>
      <vt:lpstr>MetaData</vt:lpstr>
      <vt:lpstr>ToC</vt:lpstr>
      <vt:lpstr>TC_Template</vt:lpstr>
      <vt:lpstr>TC0001</vt:lpstr>
      <vt:lpstr>TC0002</vt:lpstr>
      <vt:lpstr>TC0003</vt:lpstr>
      <vt:lpstr>TC0004</vt:lpstr>
      <vt:lpstr>TC0005</vt:lpstr>
      <vt:lpstr>TC0006</vt:lpstr>
      <vt:lpstr>TC0007</vt:lpstr>
      <vt:lpstr>TC0008</vt:lpstr>
      <vt:lpstr>TC0009</vt:lpstr>
      <vt:lpstr>TC0010</vt:lpstr>
      <vt:lpstr>TC0011</vt:lpstr>
      <vt:lpstr>TC0012</vt:lpstr>
      <vt:lpstr>TC0013</vt:lpstr>
      <vt:lpstr>TC0014</vt:lpstr>
      <vt:lpstr>StatusList</vt:lpstr>
      <vt:lpstr>TestStepStatus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 Hill</dc:creator>
  <cp:lastModifiedBy>Cameron Metzgar</cp:lastModifiedBy>
  <dcterms:created xsi:type="dcterms:W3CDTF">2020-10-26T12:32:57Z</dcterms:created>
  <dcterms:modified xsi:type="dcterms:W3CDTF">2026-07-16T16:54:59Z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994447-1ba5-4609-ae08-e5bd252dd33f_Enabled">
    <vt:lpwstr>True</vt:lpwstr>
  </property>
  <property fmtid="{D5CDD505-2E9C-101B-9397-08002B2CF9AE}" pid="3" name="MSIP_Label_36994447-1ba5-4609-ae08-e5bd252dd33f_SiteId">
    <vt:lpwstr>1d844aaf-abdd-4241-8239-4a5e7b69a3e0</vt:lpwstr>
  </property>
  <property fmtid="{D5CDD505-2E9C-101B-9397-08002B2CF9AE}" pid="4" name="MSIP_Label_36994447-1ba5-4609-ae08-e5bd252dd33f_Owner">
    <vt:lpwstr>U280091@oshkoshglobal.com</vt:lpwstr>
  </property>
  <property fmtid="{D5CDD505-2E9C-101B-9397-08002B2CF9AE}" pid="5" name="MSIP_Label_36994447-1ba5-4609-ae08-e5bd252dd33f_SetDate">
    <vt:lpwstr>2020-10-26T12:39:24.8839384Z</vt:lpwstr>
  </property>
  <property fmtid="{D5CDD505-2E9C-101B-9397-08002B2CF9AE}" pid="6" name="MSIP_Label_36994447-1ba5-4609-ae08-e5bd252dd33f_Name">
    <vt:lpwstr>Restricted</vt:lpwstr>
  </property>
  <property fmtid="{D5CDD505-2E9C-101B-9397-08002B2CF9AE}" pid="7" name="MSIP_Label_36994447-1ba5-4609-ae08-e5bd252dd33f_Application">
    <vt:lpwstr>Microsoft Azure Information Protection</vt:lpwstr>
  </property>
  <property fmtid="{D5CDD505-2E9C-101B-9397-08002B2CF9AE}" pid="8" name="MSIP_Label_36994447-1ba5-4609-ae08-e5bd252dd33f_ActionId">
    <vt:lpwstr>2ccf7242-772f-40c6-b739-b608262a5d88</vt:lpwstr>
  </property>
  <property fmtid="{D5CDD505-2E9C-101B-9397-08002B2CF9AE}" pid="9" name="MSIP_Label_36994447-1ba5-4609-ae08-e5bd252dd33f_Extended_MSFT_Method">
    <vt:lpwstr>Automatic</vt:lpwstr>
  </property>
  <property fmtid="{D5CDD505-2E9C-101B-9397-08002B2CF9AE}" pid="10" name="MSIP_Label_9416ae3b-2779-4e2c-b50c-f09de060677f_Enabled">
    <vt:lpwstr>True</vt:lpwstr>
  </property>
  <property fmtid="{D5CDD505-2E9C-101B-9397-08002B2CF9AE}" pid="11" name="MSIP_Label_9416ae3b-2779-4e2c-b50c-f09de060677f_SiteId">
    <vt:lpwstr>1d844aaf-abdd-4241-8239-4a5e7b69a3e0</vt:lpwstr>
  </property>
  <property fmtid="{D5CDD505-2E9C-101B-9397-08002B2CF9AE}" pid="12" name="MSIP_Label_9416ae3b-2779-4e2c-b50c-f09de060677f_Owner">
    <vt:lpwstr>U280091@oshkoshglobal.com</vt:lpwstr>
  </property>
  <property fmtid="{D5CDD505-2E9C-101B-9397-08002B2CF9AE}" pid="13" name="MSIP_Label_9416ae3b-2779-4e2c-b50c-f09de060677f_SetDate">
    <vt:lpwstr>2020-10-26T12:39:24.8839384Z</vt:lpwstr>
  </property>
  <property fmtid="{D5CDD505-2E9C-101B-9397-08002B2CF9AE}" pid="14" name="MSIP_Label_9416ae3b-2779-4e2c-b50c-f09de060677f_Name">
    <vt:lpwstr>Visual Marking - YES</vt:lpwstr>
  </property>
  <property fmtid="{D5CDD505-2E9C-101B-9397-08002B2CF9AE}" pid="15" name="MSIP_Label_9416ae3b-2779-4e2c-b50c-f09de060677f_Application">
    <vt:lpwstr>Microsoft Azure Information Protection</vt:lpwstr>
  </property>
  <property fmtid="{D5CDD505-2E9C-101B-9397-08002B2CF9AE}" pid="16" name="MSIP_Label_9416ae3b-2779-4e2c-b50c-f09de060677f_ActionId">
    <vt:lpwstr>2ccf7242-772f-40c6-b739-b608262a5d88</vt:lpwstr>
  </property>
  <property fmtid="{D5CDD505-2E9C-101B-9397-08002B2CF9AE}" pid="17" name="MSIP_Label_9416ae3b-2779-4e2c-b50c-f09de060677f_Parent">
    <vt:lpwstr>36994447-1ba5-4609-ae08-e5bd252dd33f</vt:lpwstr>
  </property>
  <property fmtid="{D5CDD505-2E9C-101B-9397-08002B2CF9AE}" pid="18" name="MSIP_Label_9416ae3b-2779-4e2c-b50c-f09de060677f_Extended_MSFT_Method">
    <vt:lpwstr>Automatic</vt:lpwstr>
  </property>
  <property fmtid="{D5CDD505-2E9C-101B-9397-08002B2CF9AE}" pid="19" name="Sensitivity">
    <vt:lpwstr>Restricted Visual Marking - YES</vt:lpwstr>
  </property>
  <property fmtid="{D5CDD505-2E9C-101B-9397-08002B2CF9AE}" pid="20" name="ContentTypeId">
    <vt:lpwstr>0x0101005D570E47C2CA734CB1048C5C641AC72E</vt:lpwstr>
  </property>
  <property fmtid="{D5CDD505-2E9C-101B-9397-08002B2CF9AE}" pid="21" name="MediaServiceImageTags">
    <vt:lpwstr/>
  </property>
</Properties>
</file>